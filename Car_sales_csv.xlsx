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gm3tek\Desktop\"/>
    </mc:Choice>
  </mc:AlternateContent>
  <xr:revisionPtr revIDLastSave="0" documentId="13_ncr:1_{947AFD90-5916-46A1-8615-2DE079EE6351}" xr6:coauthVersionLast="47" xr6:coauthVersionMax="47" xr10:uidLastSave="{00000000-0000-0000-0000-000000000000}"/>
  <bookViews>
    <workbookView xWindow="-120" yWindow="-120" windowWidth="29040" windowHeight="15840" xr2:uid="{00000000-000D-0000-FFFF-FFFF00000000}"/>
  </bookViews>
  <sheets>
    <sheet name="Dashboard" sheetId="1" r:id="rId1"/>
    <sheet name="Pivot taple" sheetId="2" r:id="rId2"/>
    <sheet name="Car_sales" sheetId="3" r:id="rId3"/>
  </sheets>
  <definedNames>
    <definedName name="ExternalData_1" localSheetId="2" hidden="1">Car_sales!$A$1:$Q$153</definedName>
    <definedName name="Slicer_Fuel_efficiency">#N/A</definedName>
    <definedName name="Slicer_Fuel_efficiency1">#N/A</definedName>
    <definedName name="Slicer_Latest_Launch">#N/A</definedName>
    <definedName name="Slicer_Latest_Launch1">#N/A</definedName>
    <definedName name="Slicer_Manufacturer">#N/A</definedName>
    <definedName name="Slicer_Manufacturer1">#N/A</definedName>
    <definedName name="Slicer_Vehicle_type">#N/A</definedName>
    <definedName name="Slicer_Vehicle_type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1" l="1"/>
  <c r="H3" i="1"/>
  <c r="J3" i="1"/>
  <c r="B3" i="1"/>
  <c r="D3" i="1"/>
</calcChain>
</file>

<file path=xl/sharedStrings.xml><?xml version="1.0" encoding="utf-8"?>
<sst xmlns="http://schemas.openxmlformats.org/spreadsheetml/2006/main" count="538" uniqueCount="213">
  <si>
    <t>Total Sales (K)</t>
  </si>
  <si>
    <t>Avg Price (K)</t>
  </si>
  <si>
    <t>Avg Fuel Efficiency</t>
  </si>
  <si>
    <t>Total Models</t>
  </si>
  <si>
    <t>Total Manufacturers</t>
  </si>
  <si>
    <t>Ford</t>
  </si>
  <si>
    <t>Average of Fuel_efficiency</t>
  </si>
  <si>
    <t>Row Labels</t>
  </si>
  <si>
    <t>Sum of Sales_in_thousands</t>
  </si>
  <si>
    <t>Average of Price_in_thousands</t>
  </si>
  <si>
    <t>Buick</t>
  </si>
  <si>
    <t>Car</t>
  </si>
  <si>
    <t>Chevrolet</t>
  </si>
  <si>
    <t>Passenger</t>
  </si>
  <si>
    <t>Sum of Resale_Ratio</t>
  </si>
  <si>
    <t>Dodge</t>
  </si>
  <si>
    <t>Grand Total</t>
  </si>
  <si>
    <t>Honda</t>
  </si>
  <si>
    <t>Jeep</t>
  </si>
  <si>
    <t>Mercedes-B</t>
  </si>
  <si>
    <t>Accord</t>
  </si>
  <si>
    <t>Mercury</t>
  </si>
  <si>
    <t>Camry</t>
  </si>
  <si>
    <t>Nissan</t>
  </si>
  <si>
    <t>Mitsubishi</t>
  </si>
  <si>
    <t>Caravan</t>
  </si>
  <si>
    <t>Pontiac</t>
  </si>
  <si>
    <t>Civic</t>
  </si>
  <si>
    <t>Toyota</t>
  </si>
  <si>
    <t>Saturn</t>
  </si>
  <si>
    <t>Explorer</t>
  </si>
  <si>
    <t>Focus</t>
  </si>
  <si>
    <t>Volkswagen</t>
  </si>
  <si>
    <t>F-Series</t>
  </si>
  <si>
    <t>Ram Pickup</t>
  </si>
  <si>
    <t>Ranger</t>
  </si>
  <si>
    <t>Taurus</t>
  </si>
  <si>
    <t>Manufacturer</t>
  </si>
  <si>
    <t>Model</t>
  </si>
  <si>
    <t>Sales_in_thousands</t>
  </si>
  <si>
    <t>__year_resale_value</t>
  </si>
  <si>
    <t>Vehicle_type</t>
  </si>
  <si>
    <t>Price_in_thousands</t>
  </si>
  <si>
    <t>Engine_size</t>
  </si>
  <si>
    <t>Horsepower</t>
  </si>
  <si>
    <t>Wheelbase</t>
  </si>
  <si>
    <t>Width</t>
  </si>
  <si>
    <t>Length</t>
  </si>
  <si>
    <t>Curb_weight</t>
  </si>
  <si>
    <t>Fuel_capacity</t>
  </si>
  <si>
    <t>Fuel_efficiency</t>
  </si>
  <si>
    <t>Latest_Launch</t>
  </si>
  <si>
    <t>Power_perf_factor</t>
  </si>
  <si>
    <t>Resale_Ratio</t>
  </si>
  <si>
    <t>Acura</t>
  </si>
  <si>
    <t>Integra</t>
  </si>
  <si>
    <t>TL</t>
  </si>
  <si>
    <t>RL</t>
  </si>
  <si>
    <t>Audi</t>
  </si>
  <si>
    <t>A4</t>
  </si>
  <si>
    <t>A6</t>
  </si>
  <si>
    <t>A8</t>
  </si>
  <si>
    <t>BMW</t>
  </si>
  <si>
    <t>323i</t>
  </si>
  <si>
    <t>328i</t>
  </si>
  <si>
    <t>528i</t>
  </si>
  <si>
    <t>Century</t>
  </si>
  <si>
    <t>Regal</t>
  </si>
  <si>
    <t>Park Avenue</t>
  </si>
  <si>
    <t>LeSabre</t>
  </si>
  <si>
    <t>Cadillac</t>
  </si>
  <si>
    <t>DeVille</t>
  </si>
  <si>
    <t>Eldorado</t>
  </si>
  <si>
    <t>Catera</t>
  </si>
  <si>
    <t>Escalade</t>
  </si>
  <si>
    <t>Cavalier</t>
  </si>
  <si>
    <t>Malibu</t>
  </si>
  <si>
    <t>Lumina</t>
  </si>
  <si>
    <t>Monte Carlo</t>
  </si>
  <si>
    <t>Camaro</t>
  </si>
  <si>
    <t>Corvette</t>
  </si>
  <si>
    <t>Prizm</t>
  </si>
  <si>
    <t>Metro</t>
  </si>
  <si>
    <t>Impala</t>
  </si>
  <si>
    <t>Chrysler</t>
  </si>
  <si>
    <t>Sebring Coupe</t>
  </si>
  <si>
    <t>Sebring Conv.</t>
  </si>
  <si>
    <t>Concorde</t>
  </si>
  <si>
    <t>Cirrus</t>
  </si>
  <si>
    <t>LHS</t>
  </si>
  <si>
    <t>300M</t>
  </si>
  <si>
    <t>Neon</t>
  </si>
  <si>
    <t>Avenger</t>
  </si>
  <si>
    <t>Stratus</t>
  </si>
  <si>
    <t>Viper</t>
  </si>
  <si>
    <t>Ram Wagon</t>
  </si>
  <si>
    <t>Ram Van</t>
  </si>
  <si>
    <t>Dakota</t>
  </si>
  <si>
    <t>Durango</t>
  </si>
  <si>
    <t>Escort</t>
  </si>
  <si>
    <t>Mustang</t>
  </si>
  <si>
    <t>Contour</t>
  </si>
  <si>
    <t>Crown Victoria</t>
  </si>
  <si>
    <t>Windstar</t>
  </si>
  <si>
    <t>Expedition</t>
  </si>
  <si>
    <t>CR-V</t>
  </si>
  <si>
    <t>Passport</t>
  </si>
  <si>
    <t>Odyssey</t>
  </si>
  <si>
    <t>Hyundai</t>
  </si>
  <si>
    <t>Accent</t>
  </si>
  <si>
    <t>Elantra</t>
  </si>
  <si>
    <t>Sonata</t>
  </si>
  <si>
    <t>Infiniti</t>
  </si>
  <si>
    <t>I30</t>
  </si>
  <si>
    <t>Jaguar</t>
  </si>
  <si>
    <t>S-Type</t>
  </si>
  <si>
    <t>Wrangler</t>
  </si>
  <si>
    <t>Cherokee</t>
  </si>
  <si>
    <t>Grand Cherokee</t>
  </si>
  <si>
    <t>Lexus</t>
  </si>
  <si>
    <t>ES300</t>
  </si>
  <si>
    <t>GS300</t>
  </si>
  <si>
    <t>GS400</t>
  </si>
  <si>
    <t>LS400</t>
  </si>
  <si>
    <t>LX470</t>
  </si>
  <si>
    <t>RX300</t>
  </si>
  <si>
    <t>Lincoln</t>
  </si>
  <si>
    <t>Continental</t>
  </si>
  <si>
    <t>Town car</t>
  </si>
  <si>
    <t>Navigator</t>
  </si>
  <si>
    <t>Mirage</t>
  </si>
  <si>
    <t>Eclipse</t>
  </si>
  <si>
    <t>Galant</t>
  </si>
  <si>
    <t>Diamante</t>
  </si>
  <si>
    <t>3000GT</t>
  </si>
  <si>
    <t>Montero</t>
  </si>
  <si>
    <t>Montero Sport</t>
  </si>
  <si>
    <t>Mystique</t>
  </si>
  <si>
    <t>Cougar</t>
  </si>
  <si>
    <t>Sable</t>
  </si>
  <si>
    <t>Grand Marquis</t>
  </si>
  <si>
    <t>Mountaineer</t>
  </si>
  <si>
    <t>Villager</t>
  </si>
  <si>
    <t>C-Class</t>
  </si>
  <si>
    <t>E-Class</t>
  </si>
  <si>
    <t>S-Class</t>
  </si>
  <si>
    <t>SL-Class</t>
  </si>
  <si>
    <t>SLK</t>
  </si>
  <si>
    <t>SLK230</t>
  </si>
  <si>
    <t>CLK Coupe</t>
  </si>
  <si>
    <t>CL500</t>
  </si>
  <si>
    <t>M-Class</t>
  </si>
  <si>
    <t>Sentra</t>
  </si>
  <si>
    <t>Altima</t>
  </si>
  <si>
    <t>Maxima</t>
  </si>
  <si>
    <t>Quest</t>
  </si>
  <si>
    <t>Pathfinder</t>
  </si>
  <si>
    <t>Xterra</t>
  </si>
  <si>
    <t>Frontier</t>
  </si>
  <si>
    <t>Oldsmobile</t>
  </si>
  <si>
    <t>Cutlass</t>
  </si>
  <si>
    <t>Alero</t>
  </si>
  <si>
    <t>Aurora</t>
  </si>
  <si>
    <t>Bravada</t>
  </si>
  <si>
    <t>Silhouette</t>
  </si>
  <si>
    <t>Plymouth</t>
  </si>
  <si>
    <t>Breeze</t>
  </si>
  <si>
    <t>Voyager</t>
  </si>
  <si>
    <t>Prowler</t>
  </si>
  <si>
    <t>Sunfire</t>
  </si>
  <si>
    <t>Grand Am</t>
  </si>
  <si>
    <t>Firebird</t>
  </si>
  <si>
    <t>Grand Prix</t>
  </si>
  <si>
    <t>Bonneville</t>
  </si>
  <si>
    <t>Montana</t>
  </si>
  <si>
    <t>Porsche</t>
  </si>
  <si>
    <t>Boxter</t>
  </si>
  <si>
    <t>Carrera Coupe</t>
  </si>
  <si>
    <t>Carrera Cabrio</t>
  </si>
  <si>
    <t>Saab</t>
  </si>
  <si>
    <t>5-Sep</t>
  </si>
  <si>
    <t>3-Sep</t>
  </si>
  <si>
    <t>SL</t>
  </si>
  <si>
    <t>SC</t>
  </si>
  <si>
    <t>SW</t>
  </si>
  <si>
    <t>LW</t>
  </si>
  <si>
    <t>LS</t>
  </si>
  <si>
    <t>Subaru</t>
  </si>
  <si>
    <t>Outback</t>
  </si>
  <si>
    <t>Forester</t>
  </si>
  <si>
    <t>Corolla</t>
  </si>
  <si>
    <t>Avalon</t>
  </si>
  <si>
    <t>Celica</t>
  </si>
  <si>
    <t>Tacoma</t>
  </si>
  <si>
    <t>Sienna</t>
  </si>
  <si>
    <t>RAV4</t>
  </si>
  <si>
    <t>4Runner</t>
  </si>
  <si>
    <t>Land Cruiser</t>
  </si>
  <si>
    <t>Golf</t>
  </si>
  <si>
    <t>Jetta</t>
  </si>
  <si>
    <t>Passat</t>
  </si>
  <si>
    <t>Cabrio</t>
  </si>
  <si>
    <t>GTI</t>
  </si>
  <si>
    <t>Beetle</t>
  </si>
  <si>
    <t>Volvo</t>
  </si>
  <si>
    <t>S40</t>
  </si>
  <si>
    <t>V40</t>
  </si>
  <si>
    <t>S70</t>
  </si>
  <si>
    <t>V70</t>
  </si>
  <si>
    <t>C70</t>
  </si>
  <si>
    <t>S80</t>
  </si>
  <si>
    <t>Count of Model</t>
  </si>
  <si>
    <t>Count of 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</si>
</sst>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3" x14ac:knownFonts="1">
    <font>
      <sz val="11"/>
      <color theme="1"/>
      <name val="Calibri"/>
      <family val="2"/>
      <scheme val="minor"/>
    </font>
    <font>
      <b/>
      <sz val="16"/>
      <color theme="2"/>
      <name val="Arial"/>
      <family val="2"/>
    </font>
    <font>
      <b/>
      <sz val="11"/>
      <color theme="2"/>
      <name val="Arial"/>
      <family val="2"/>
    </font>
  </fonts>
  <fills count="3">
    <fill>
      <patternFill patternType="none"/>
    </fill>
    <fill>
      <patternFill patternType="gray125"/>
    </fill>
    <fill>
      <patternFill patternType="solid">
        <fgColor rgb="FF1F2937"/>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4">
    <xf numFmtId="0" fontId="0" fillId="0" borderId="0" xfId="0"/>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2" fontId="0" fillId="0" borderId="0" xfId="0" applyNumberFormat="1"/>
    <xf numFmtId="0" fontId="0" fillId="0" borderId="0" xfId="0" applyNumberFormat="1"/>
    <xf numFmtId="0" fontId="0" fillId="2" borderId="0" xfId="0" applyFill="1"/>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cellXfs>
  <cellStyles count="1">
    <cellStyle name="Normal" xfId="0" builtinId="0"/>
  </cellStyles>
  <dxfs count="28">
    <dxf>
      <numFmt numFmtId="2" formatCode="0.00"/>
    </dxf>
    <dxf>
      <numFmt numFmtId="164" formatCode="0.000"/>
    </dxf>
    <dxf>
      <numFmt numFmtId="14" formatCode="0.00%"/>
    </dxf>
    <dxf>
      <numFmt numFmtId="164" formatCode="0.000"/>
    </dxf>
    <dxf>
      <numFmt numFmtId="164" formatCode="0.000"/>
    </dxf>
    <dxf>
      <numFmt numFmtId="14" formatCode="0.00%"/>
    </dxf>
    <dxf>
      <numFmt numFmtId="164" formatCode="0.000"/>
    </dxf>
    <dxf>
      <numFmt numFmtId="165" formatCode="0.0000"/>
    </dxf>
    <dxf>
      <numFmt numFmtId="164" formatCode="0.000"/>
    </dxf>
    <dxf>
      <numFmt numFmtId="164" formatCode="0.000"/>
    </dxf>
    <dxf>
      <numFmt numFmtId="14" formatCode="0.00%"/>
    </dxf>
    <dxf>
      <numFmt numFmtId="164" formatCode="0.000"/>
    </dxf>
    <dxf>
      <numFmt numFmtId="165" formatCode="0.0000"/>
    </dxf>
    <dxf>
      <numFmt numFmtId="164" formatCode="0.000"/>
    </dxf>
    <dxf>
      <numFmt numFmtId="164" formatCode="0.000"/>
    </dxf>
    <dxf>
      <numFmt numFmtId="14" formatCode="0.00%"/>
    </dxf>
    <dxf>
      <numFmt numFmtId="164" formatCode="0.000"/>
    </dxf>
    <dxf>
      <numFmt numFmtId="165" formatCode="0.0000"/>
    </dxf>
    <dxf>
      <numFmt numFmtId="19" formatCode="m/d/yyyy"/>
    </dxf>
    <dxf>
      <numFmt numFmtId="164" formatCode="0.000"/>
    </dxf>
    <dxf>
      <numFmt numFmtId="164" formatCode="0.000"/>
    </dxf>
    <dxf>
      <numFmt numFmtId="164" formatCode="0.000"/>
    </dxf>
    <dxf>
      <numFmt numFmtId="165" formatCode="0.0000"/>
    </dxf>
    <dxf>
      <numFmt numFmtId="164" formatCode="0.000"/>
    </dxf>
    <dxf>
      <numFmt numFmtId="14" formatCode="0.00%"/>
    </dxf>
    <dxf>
      <numFmt numFmtId="164" formatCode="0.000"/>
    </dxf>
    <dxf>
      <numFmt numFmtId="2" formatCode="0.00"/>
    </dxf>
    <dxf>
      <numFmt numFmtId="164" formatCode="0.000"/>
    </dxf>
  </dxfs>
  <tableStyles count="0" defaultTableStyle="TableStyleMedium2" defaultPivotStyle="PivotStyleLight16"/>
  <colors>
    <mruColors>
      <color rgb="FF1F2937"/>
      <color rgb="FFEF4444"/>
      <color rgb="FF2D2D2D"/>
      <color rgb="FFE31B23"/>
      <color rgb="FF1212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[Car_sales_csv.xlsx]Pivot taple!PivotTable1</c:name>
    <c:fmtId val="3"/>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r>
              <a:rPr lang="en-US">
                <a:solidFill>
                  <a:schemeClr val="bg1"/>
                </a:solidFill>
              </a:rPr>
              <a:t>Total Sales Market Share by Manufacturer</a:t>
            </a:r>
          </a:p>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taple'!$B$3</c:f>
              <c:strCache>
                <c:ptCount val="1"/>
                <c:pt idx="0">
                  <c:v>Total</c:v>
                </c:pt>
              </c:strCache>
            </c:strRef>
          </c:tx>
          <c:spPr>
            <a:solidFill>
              <a:schemeClr val="accent2"/>
            </a:solidFill>
            <a:ln>
              <a:noFill/>
              <a:prstDash val="solid"/>
            </a:ln>
          </c:spPr>
          <c:invertIfNegative val="0"/>
          <c:cat>
            <c:strRef>
              <c:f>'Pivot taple'!$A$4:$A$14</c:f>
              <c:strCache>
                <c:ptCount val="10"/>
                <c:pt idx="0">
                  <c:v>Buick</c:v>
                </c:pt>
                <c:pt idx="1">
                  <c:v>Chevrolet</c:v>
                </c:pt>
                <c:pt idx="2">
                  <c:v>Dodge</c:v>
                </c:pt>
                <c:pt idx="3">
                  <c:v>Ford</c:v>
                </c:pt>
                <c:pt idx="4">
                  <c:v>Honda</c:v>
                </c:pt>
                <c:pt idx="5">
                  <c:v>Jeep</c:v>
                </c:pt>
                <c:pt idx="6">
                  <c:v>Mercury</c:v>
                </c:pt>
                <c:pt idx="7">
                  <c:v>Nissan</c:v>
                </c:pt>
                <c:pt idx="8">
                  <c:v>Pontiac</c:v>
                </c:pt>
                <c:pt idx="9">
                  <c:v>Toyota</c:v>
                </c:pt>
              </c:strCache>
            </c:strRef>
          </c:cat>
          <c:val>
            <c:numRef>
              <c:f>'Pivot taple'!$B$4:$B$14</c:f>
              <c:numCache>
                <c:formatCode>General</c:formatCode>
                <c:ptCount val="10"/>
                <c:pt idx="0">
                  <c:v>242.2</c:v>
                </c:pt>
                <c:pt idx="1">
                  <c:v>554.29999999999995</c:v>
                </c:pt>
                <c:pt idx="2">
                  <c:v>822</c:v>
                </c:pt>
                <c:pt idx="3">
                  <c:v>2022.6999999999998</c:v>
                </c:pt>
                <c:pt idx="4">
                  <c:v>592.70000000000005</c:v>
                </c:pt>
                <c:pt idx="5">
                  <c:v>293.2</c:v>
                </c:pt>
                <c:pt idx="6">
                  <c:v>238.10000000000002</c:v>
                </c:pt>
                <c:pt idx="7">
                  <c:v>399.7</c:v>
                </c:pt>
                <c:pt idx="8">
                  <c:v>370.5</c:v>
                </c:pt>
                <c:pt idx="9">
                  <c:v>740.1</c:v>
                </c:pt>
              </c:numCache>
            </c:numRef>
          </c:val>
          <c:extLst>
            <c:ext xmlns:c16="http://schemas.microsoft.com/office/drawing/2014/chart" uri="{C3380CC4-5D6E-409C-BE32-E72D297353CC}">
              <c16:uniqueId val="{00000000-8A23-4EEE-A622-CE110F2FEC59}"/>
            </c:ext>
          </c:extLst>
        </c:ser>
        <c:dLbls>
          <c:showLegendKey val="0"/>
          <c:showVal val="0"/>
          <c:showCatName val="0"/>
          <c:showSerName val="0"/>
          <c:showPercent val="0"/>
          <c:showBubbleSize val="0"/>
        </c:dLbls>
        <c:gapWidth val="182"/>
        <c:axId val="463047808"/>
        <c:axId val="463054368"/>
      </c:barChart>
      <c:catAx>
        <c:axId val="46304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chemeClr val="bg1"/>
                </a:solidFill>
                <a:latin typeface="+mn-lt"/>
                <a:ea typeface="+mn-ea"/>
                <a:cs typeface="+mn-cs"/>
              </a:defRPr>
            </a:pPr>
            <a:endParaRPr lang="en-US"/>
          </a:p>
        </c:txPr>
        <c:crossAx val="463054368"/>
        <c:crosses val="autoZero"/>
        <c:auto val="1"/>
        <c:lblAlgn val="ctr"/>
        <c:lblOffset val="100"/>
        <c:noMultiLvlLbl val="0"/>
      </c:catAx>
      <c:valAx>
        <c:axId val="46305436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000" b="0" i="0" strike="noStrike" kern="1200" baseline="0">
                <a:solidFill>
                  <a:schemeClr val="bg1"/>
                </a:solidFill>
                <a:latin typeface="+mn-lt"/>
                <a:ea typeface="+mn-ea"/>
                <a:cs typeface="+mn-cs"/>
              </a:defRPr>
            </a:pPr>
            <a:endParaRPr lang="en-US"/>
          </a:p>
        </c:txPr>
        <c:crossAx val="463047808"/>
        <c:crosses val="autoZero"/>
        <c:crossBetween val="between"/>
      </c:valAx>
      <c:spPr>
        <a:solidFill>
          <a:schemeClr val="bg2"/>
        </a:solidFill>
      </c:spPr>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rgbClr val="1F2937"/>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[Car_sales_csv.xlsx]Pivot taple!PivotTable2</c:name>
    <c:fmtId val="3"/>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r>
              <a:rPr lang="en-US" b="1">
                <a:solidFill>
                  <a:schemeClr val="bg1"/>
                </a:solidFill>
              </a:rPr>
              <a:t>Avg Price by Type</a:t>
            </a:r>
            <a:endParaRPr lang="en-US">
              <a:solidFill>
                <a:schemeClr val="bg1"/>
              </a:solidFill>
            </a:endParaRPr>
          </a:p>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endParaRPr lang="en-US"/>
          </a:p>
        </c:rich>
      </c:tx>
      <c:overlay val="0"/>
      <c:spPr>
        <a:noFill/>
        <a:ln>
          <a:noFill/>
          <a:prstDash val="solid"/>
        </a:ln>
      </c:sp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tint val="77000"/>
            </a:schemeClr>
          </a:solidFill>
          <a:ln w="19050">
            <a:solidFill>
              <a:schemeClr val="lt1"/>
            </a:solidFill>
            <a:prstDash val="solid"/>
          </a:ln>
        </c:spPr>
      </c:pivotFmt>
      <c:pivotFmt>
        <c:idx val="8"/>
        <c:spPr>
          <a:solidFill>
            <a:schemeClr val="accent2">
              <a:shade val="76000"/>
            </a:schemeClr>
          </a:solidFill>
          <a:ln w="19050">
            <a:solidFill>
              <a:schemeClr val="lt1"/>
            </a:solidFill>
            <a:prstDash val="solid"/>
          </a:ln>
        </c:spPr>
      </c:pivotFmt>
    </c:pivotFmts>
    <c:plotArea>
      <c:layout>
        <c:manualLayout>
          <c:layoutTarget val="inner"/>
          <c:xMode val="edge"/>
          <c:yMode val="edge"/>
          <c:x val="0.19287445319335081"/>
          <c:y val="0.26328484981044042"/>
          <c:w val="0.41147353455818031"/>
          <c:h val="0.68578922426363376"/>
        </c:manualLayout>
      </c:layout>
      <c:pieChart>
        <c:varyColors val="1"/>
        <c:ser>
          <c:idx val="0"/>
          <c:order val="0"/>
          <c:tx>
            <c:strRef>
              <c:f>'Pivot taple'!$D$3</c:f>
              <c:strCache>
                <c:ptCount val="1"/>
                <c:pt idx="0">
                  <c:v>Total</c:v>
                </c:pt>
              </c:strCache>
            </c:strRef>
          </c:tx>
          <c:spPr>
            <a:ln>
              <a:prstDash val="solid"/>
            </a:ln>
          </c:spPr>
          <c:dPt>
            <c:idx val="0"/>
            <c:bubble3D val="0"/>
            <c:spPr>
              <a:solidFill>
                <a:schemeClr val="accent2">
                  <a:tint val="77000"/>
                </a:schemeClr>
              </a:solidFill>
              <a:ln w="19050">
                <a:solidFill>
                  <a:schemeClr val="lt1"/>
                </a:solidFill>
                <a:prstDash val="solid"/>
              </a:ln>
            </c:spPr>
            <c:extLst>
              <c:ext xmlns:c16="http://schemas.microsoft.com/office/drawing/2014/chart" uri="{C3380CC4-5D6E-409C-BE32-E72D297353CC}">
                <c16:uniqueId val="{00000001-1265-4921-A407-8476F3CA554F}"/>
              </c:ext>
            </c:extLst>
          </c:dPt>
          <c:dPt>
            <c:idx val="1"/>
            <c:bubble3D val="0"/>
            <c:spPr>
              <a:solidFill>
                <a:schemeClr val="accent2">
                  <a:shade val="76000"/>
                </a:schemeClr>
              </a:solidFill>
              <a:ln w="19050">
                <a:solidFill>
                  <a:schemeClr val="lt1"/>
                </a:solidFill>
                <a:prstDash val="solid"/>
              </a:ln>
            </c:spPr>
            <c:extLst>
              <c:ext xmlns:c16="http://schemas.microsoft.com/office/drawing/2014/chart" uri="{C3380CC4-5D6E-409C-BE32-E72D297353CC}">
                <c16:uniqueId val="{00000003-1265-4921-A407-8476F3CA554F}"/>
              </c:ext>
            </c:extLst>
          </c:dPt>
          <c:dLbls>
            <c:spPr>
              <a:noFill/>
              <a:ln>
                <a:noFill/>
                <a:prstDash val="solid"/>
              </a:ln>
            </c:spPr>
            <c:txPr>
              <a:bodyPr rot="0" spcFirstLastPara="1" vertOverflow="ellipsis" vert="horz" wrap="square" lIns="38100" tIns="19050" rIns="38100" bIns="19050" anchor="ctr" anchorCtr="1">
                <a:spAutoFit/>
              </a:bodyPr>
              <a:lstStyle/>
              <a:p>
                <a:pPr>
                  <a:defRPr sz="16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taple'!$C$4:$C$6</c:f>
              <c:strCache>
                <c:ptCount val="2"/>
                <c:pt idx="0">
                  <c:v>Car</c:v>
                </c:pt>
                <c:pt idx="1">
                  <c:v>Passenger</c:v>
                </c:pt>
              </c:strCache>
            </c:strRef>
          </c:cat>
          <c:val>
            <c:numRef>
              <c:f>'Pivot taple'!$D$4:$D$6</c:f>
              <c:numCache>
                <c:formatCode>0.0000</c:formatCode>
                <c:ptCount val="2"/>
                <c:pt idx="0">
                  <c:v>26.321999999999992</c:v>
                </c:pt>
                <c:pt idx="1">
                  <c:v>27.694910714285708</c:v>
                </c:pt>
              </c:numCache>
            </c:numRef>
          </c:val>
          <c:extLst>
            <c:ext xmlns:c16="http://schemas.microsoft.com/office/drawing/2014/chart" uri="{C3380CC4-5D6E-409C-BE32-E72D297353CC}">
              <c16:uniqueId val="{00000004-1265-4921-A407-8476F3CA554F}"/>
            </c:ext>
          </c:extLst>
        </c:ser>
        <c:dLbls>
          <c:showLegendKey val="0"/>
          <c:showVal val="0"/>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bg1"/>
              </a:solidFill>
              <a:latin typeface="+mn-lt"/>
              <a:ea typeface="+mn-ea"/>
              <a:cs typeface="+mn-cs"/>
            </a:defRPr>
          </a:pPr>
          <a:endParaRPr lang="en-US"/>
        </a:p>
      </c:txPr>
    </c:legend>
    <c:plotVisOnly val="1"/>
    <c:dispBlanksAs val="gap"/>
    <c:showDLblsOverMax val="1"/>
  </c:chart>
  <c:spPr>
    <a:solidFill>
      <a:srgbClr val="1F2937"/>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[Car_sales_csv.xlsx]Pivot taple!PivotTable3</c:name>
    <c:fmtId val="4"/>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r>
              <a:rPr lang="en-US">
                <a:solidFill>
                  <a:schemeClr val="bg1"/>
                </a:solidFill>
              </a:rPr>
              <a:t>Top 10 Models by Resale Value </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taple'!$K$5</c:f>
              <c:strCache>
                <c:ptCount val="1"/>
                <c:pt idx="0">
                  <c:v>Total</c:v>
                </c:pt>
              </c:strCache>
            </c:strRef>
          </c:tx>
          <c:spPr>
            <a:solidFill>
              <a:schemeClr val="accent2"/>
            </a:solidFill>
            <a:ln>
              <a:noFill/>
              <a:prstDash val="solid"/>
            </a:ln>
          </c:spPr>
          <c:invertIfNegative val="0"/>
          <c:cat>
            <c:strRef>
              <c:f>'Pivot taple'!$J$6:$J$16</c:f>
              <c:strCache>
                <c:ptCount val="10"/>
                <c:pt idx="0">
                  <c:v>Chevrolet</c:v>
                </c:pt>
                <c:pt idx="1">
                  <c:v>Dodge</c:v>
                </c:pt>
                <c:pt idx="2">
                  <c:v>Ford</c:v>
                </c:pt>
                <c:pt idx="3">
                  <c:v>Mercedes-B</c:v>
                </c:pt>
                <c:pt idx="4">
                  <c:v>Mercury</c:v>
                </c:pt>
                <c:pt idx="5">
                  <c:v>Mitsubishi</c:v>
                </c:pt>
                <c:pt idx="6">
                  <c:v>Nissan</c:v>
                </c:pt>
                <c:pt idx="7">
                  <c:v>Saturn</c:v>
                </c:pt>
                <c:pt idx="8">
                  <c:v>Toyota</c:v>
                </c:pt>
                <c:pt idx="9">
                  <c:v>Volkswagen</c:v>
                </c:pt>
              </c:strCache>
            </c:strRef>
          </c:cat>
          <c:val>
            <c:numRef>
              <c:f>'Pivot taple'!$K$6:$K$16</c:f>
              <c:numCache>
                <c:formatCode>0.00%</c:formatCode>
                <c:ptCount val="10"/>
                <c:pt idx="0">
                  <c:v>0.10838801757780948</c:v>
                </c:pt>
                <c:pt idx="1">
                  <c:v>0.12241319622318902</c:v>
                </c:pt>
                <c:pt idx="2">
                  <c:v>0.13353980570497537</c:v>
                </c:pt>
                <c:pt idx="3">
                  <c:v>9.3576014712848224E-2</c:v>
                </c:pt>
                <c:pt idx="4">
                  <c:v>7.1990306501520607E-2</c:v>
                </c:pt>
                <c:pt idx="5">
                  <c:v>7.9800112550515778E-2</c:v>
                </c:pt>
                <c:pt idx="6">
                  <c:v>8.6304846821355391E-2</c:v>
                </c:pt>
                <c:pt idx="7">
                  <c:v>8.4238986236384081E-2</c:v>
                </c:pt>
                <c:pt idx="8">
                  <c:v>0.12765500399323693</c:v>
                </c:pt>
                <c:pt idx="9">
                  <c:v>9.2093709678165145E-2</c:v>
                </c:pt>
              </c:numCache>
            </c:numRef>
          </c:val>
          <c:extLst>
            <c:ext xmlns:c16="http://schemas.microsoft.com/office/drawing/2014/chart" uri="{C3380CC4-5D6E-409C-BE32-E72D297353CC}">
              <c16:uniqueId val="{00000000-E374-42B6-BCC7-BD9E2CD9AD9F}"/>
            </c:ext>
          </c:extLst>
        </c:ser>
        <c:dLbls>
          <c:showLegendKey val="0"/>
          <c:showVal val="0"/>
          <c:showCatName val="0"/>
          <c:showSerName val="0"/>
          <c:showPercent val="0"/>
          <c:showBubbleSize val="0"/>
        </c:dLbls>
        <c:gapWidth val="150"/>
        <c:axId val="860937848"/>
        <c:axId val="860930304"/>
      </c:barChart>
      <c:catAx>
        <c:axId val="860937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chemeClr val="bg1"/>
                </a:solidFill>
                <a:latin typeface="+mn-lt"/>
                <a:ea typeface="+mn-ea"/>
                <a:cs typeface="+mn-cs"/>
              </a:defRPr>
            </a:pPr>
            <a:endParaRPr lang="en-US"/>
          </a:p>
        </c:txPr>
        <c:crossAx val="860930304"/>
        <c:crosses val="autoZero"/>
        <c:auto val="1"/>
        <c:lblAlgn val="ctr"/>
        <c:lblOffset val="100"/>
        <c:noMultiLvlLbl val="0"/>
      </c:catAx>
      <c:valAx>
        <c:axId val="860930304"/>
        <c:scaling>
          <c:orientation val="minMax"/>
        </c:scaling>
        <c:delete val="0"/>
        <c:axPos val="b"/>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1000" b="0" i="0" strike="noStrike" kern="1200" baseline="0">
                <a:solidFill>
                  <a:schemeClr val="bg1"/>
                </a:solidFill>
                <a:latin typeface="+mn-lt"/>
                <a:ea typeface="+mn-ea"/>
                <a:cs typeface="+mn-cs"/>
              </a:defRPr>
            </a:pPr>
            <a:endParaRPr lang="en-US"/>
          </a:p>
        </c:txPr>
        <c:crossAx val="860937848"/>
        <c:crosses val="autoZero"/>
        <c:crossBetween val="between"/>
      </c:valAx>
    </c:plotArea>
    <c:plotVisOnly val="1"/>
    <c:dispBlanksAs val="zero"/>
    <c:showDLblsOverMax val="1"/>
  </c:chart>
  <c:spPr>
    <a:solidFill>
      <a:srgbClr val="1F2937"/>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[Car_sales_csv.xlsx]Pivot taple!PivotTable4</c:name>
    <c:fmtId val="4"/>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r>
              <a:rPr lang="en-US">
                <a:solidFill>
                  <a:schemeClr val="bg1"/>
                </a:solidFill>
              </a:rPr>
              <a:t>Average Price Car vs. Passenger</a:t>
            </a:r>
          </a:p>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taple'!$N$8</c:f>
              <c:strCache>
                <c:ptCount val="1"/>
                <c:pt idx="0">
                  <c:v>Total</c:v>
                </c:pt>
              </c:strCache>
            </c:strRef>
          </c:tx>
          <c:spPr>
            <a:solidFill>
              <a:schemeClr val="accent2"/>
            </a:solidFill>
            <a:ln>
              <a:noFill/>
              <a:prstDash val="solid"/>
            </a:ln>
          </c:spPr>
          <c:invertIfNegative val="0"/>
          <c:cat>
            <c:strRef>
              <c:f>'Pivot taple'!$M$9:$M$19</c:f>
              <c:strCache>
                <c:ptCount val="10"/>
                <c:pt idx="0">
                  <c:v>Accord</c:v>
                </c:pt>
                <c:pt idx="1">
                  <c:v>Camry</c:v>
                </c:pt>
                <c:pt idx="2">
                  <c:v>Caravan</c:v>
                </c:pt>
                <c:pt idx="3">
                  <c:v>Civic</c:v>
                </c:pt>
                <c:pt idx="4">
                  <c:v>Explorer</c:v>
                </c:pt>
                <c:pt idx="5">
                  <c:v>Focus</c:v>
                </c:pt>
                <c:pt idx="6">
                  <c:v>F-Series</c:v>
                </c:pt>
                <c:pt idx="7">
                  <c:v>Ram Pickup</c:v>
                </c:pt>
                <c:pt idx="8">
                  <c:v>Ranger</c:v>
                </c:pt>
                <c:pt idx="9">
                  <c:v>Taurus</c:v>
                </c:pt>
              </c:strCache>
            </c:strRef>
          </c:cat>
          <c:val>
            <c:numRef>
              <c:f>'Pivot taple'!$N$9:$N$19</c:f>
              <c:numCache>
                <c:formatCode>0.000</c:formatCode>
                <c:ptCount val="10"/>
                <c:pt idx="0">
                  <c:v>230.9</c:v>
                </c:pt>
                <c:pt idx="1">
                  <c:v>248</c:v>
                </c:pt>
                <c:pt idx="2">
                  <c:v>181.7</c:v>
                </c:pt>
                <c:pt idx="3">
                  <c:v>199.7</c:v>
                </c:pt>
                <c:pt idx="4">
                  <c:v>276.7</c:v>
                </c:pt>
                <c:pt idx="5">
                  <c:v>175.7</c:v>
                </c:pt>
                <c:pt idx="6">
                  <c:v>540.6</c:v>
                </c:pt>
                <c:pt idx="7">
                  <c:v>227.1</c:v>
                </c:pt>
                <c:pt idx="8">
                  <c:v>220.7</c:v>
                </c:pt>
                <c:pt idx="9">
                  <c:v>245.8</c:v>
                </c:pt>
              </c:numCache>
            </c:numRef>
          </c:val>
          <c:extLst>
            <c:ext xmlns:c16="http://schemas.microsoft.com/office/drawing/2014/chart" uri="{C3380CC4-5D6E-409C-BE32-E72D297353CC}">
              <c16:uniqueId val="{00000000-1BC4-4151-9FC6-CDC15AA5B222}"/>
            </c:ext>
          </c:extLst>
        </c:ser>
        <c:dLbls>
          <c:showLegendKey val="0"/>
          <c:showVal val="0"/>
          <c:showCatName val="0"/>
          <c:showSerName val="0"/>
          <c:showPercent val="0"/>
          <c:showBubbleSize val="0"/>
        </c:dLbls>
        <c:gapWidth val="219"/>
        <c:overlap val="-27"/>
        <c:axId val="1295875344"/>
        <c:axId val="1295873376"/>
      </c:barChart>
      <c:catAx>
        <c:axId val="12958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chemeClr val="bg1"/>
                </a:solidFill>
                <a:latin typeface="+mn-lt"/>
                <a:ea typeface="+mn-ea"/>
                <a:cs typeface="+mn-cs"/>
              </a:defRPr>
            </a:pPr>
            <a:endParaRPr lang="en-US"/>
          </a:p>
        </c:txPr>
        <c:crossAx val="1295873376"/>
        <c:crosses val="autoZero"/>
        <c:auto val="1"/>
        <c:lblAlgn val="ctr"/>
        <c:lblOffset val="100"/>
        <c:noMultiLvlLbl val="0"/>
      </c:catAx>
      <c:valAx>
        <c:axId val="12958733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 sourceLinked="1"/>
        <c:majorTickMark val="none"/>
        <c:minorTickMark val="none"/>
        <c:tickLblPos val="nextTo"/>
        <c:spPr>
          <a:noFill/>
          <a:ln>
            <a:noFill/>
            <a:prstDash val="solid"/>
          </a:ln>
        </c:spPr>
        <c:txPr>
          <a:bodyPr rot="-60000000" spcFirstLastPara="1" vertOverflow="ellipsis" vert="horz" wrap="square" anchor="ctr" anchorCtr="1"/>
          <a:lstStyle/>
          <a:p>
            <a:pPr>
              <a:defRPr sz="1000" b="0" i="0" strike="noStrike" kern="1200" baseline="0">
                <a:solidFill>
                  <a:schemeClr val="bg1"/>
                </a:solidFill>
                <a:latin typeface="+mn-lt"/>
                <a:ea typeface="+mn-ea"/>
                <a:cs typeface="+mn-cs"/>
              </a:defRPr>
            </a:pPr>
            <a:endParaRPr lang="en-US"/>
          </a:p>
        </c:txPr>
        <c:crossAx val="1295875344"/>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rgbClr val="1F2937"/>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[Car_sales_csv.xlsx]Pivot taple!PivotTable1</c:name>
    <c:fmtId val="0"/>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r>
              <a:rPr lang="en-US"/>
              <a:t>Total Sales Market Share by Manufacturer</a:t>
            </a:r>
          </a:p>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taple'!$B$3</c:f>
              <c:strCache>
                <c:ptCount val="1"/>
                <c:pt idx="0">
                  <c:v>Total</c:v>
                </c:pt>
              </c:strCache>
            </c:strRef>
          </c:tx>
          <c:spPr>
            <a:solidFill>
              <a:schemeClr val="accent1"/>
            </a:solidFill>
            <a:ln>
              <a:noFill/>
              <a:prstDash val="solid"/>
            </a:ln>
          </c:spPr>
          <c:invertIfNegative val="0"/>
          <c:cat>
            <c:strRef>
              <c:f>'Pivot taple'!$A$4:$A$14</c:f>
              <c:strCache>
                <c:ptCount val="10"/>
                <c:pt idx="0">
                  <c:v>Buick</c:v>
                </c:pt>
                <c:pt idx="1">
                  <c:v>Chevrolet</c:v>
                </c:pt>
                <c:pt idx="2">
                  <c:v>Dodge</c:v>
                </c:pt>
                <c:pt idx="3">
                  <c:v>Ford</c:v>
                </c:pt>
                <c:pt idx="4">
                  <c:v>Honda</c:v>
                </c:pt>
                <c:pt idx="5">
                  <c:v>Jeep</c:v>
                </c:pt>
                <c:pt idx="6">
                  <c:v>Mercury</c:v>
                </c:pt>
                <c:pt idx="7">
                  <c:v>Nissan</c:v>
                </c:pt>
                <c:pt idx="8">
                  <c:v>Pontiac</c:v>
                </c:pt>
                <c:pt idx="9">
                  <c:v>Toyota</c:v>
                </c:pt>
              </c:strCache>
            </c:strRef>
          </c:cat>
          <c:val>
            <c:numRef>
              <c:f>'Pivot taple'!$B$4:$B$14</c:f>
              <c:numCache>
                <c:formatCode>General</c:formatCode>
                <c:ptCount val="10"/>
                <c:pt idx="0">
                  <c:v>242.2</c:v>
                </c:pt>
                <c:pt idx="1">
                  <c:v>554.29999999999995</c:v>
                </c:pt>
                <c:pt idx="2">
                  <c:v>822</c:v>
                </c:pt>
                <c:pt idx="3">
                  <c:v>2022.6999999999998</c:v>
                </c:pt>
                <c:pt idx="4">
                  <c:v>592.70000000000005</c:v>
                </c:pt>
                <c:pt idx="5">
                  <c:v>293.2</c:v>
                </c:pt>
                <c:pt idx="6">
                  <c:v>238.10000000000002</c:v>
                </c:pt>
                <c:pt idx="7">
                  <c:v>399.7</c:v>
                </c:pt>
                <c:pt idx="8">
                  <c:v>370.5</c:v>
                </c:pt>
                <c:pt idx="9">
                  <c:v>740.1</c:v>
                </c:pt>
              </c:numCache>
            </c:numRef>
          </c:val>
          <c:extLst>
            <c:ext xmlns:c16="http://schemas.microsoft.com/office/drawing/2014/chart" uri="{C3380CC4-5D6E-409C-BE32-E72D297353CC}">
              <c16:uniqueId val="{00000000-D036-4006-AE2A-999EF2FE120F}"/>
            </c:ext>
          </c:extLst>
        </c:ser>
        <c:dLbls>
          <c:showLegendKey val="0"/>
          <c:showVal val="0"/>
          <c:showCatName val="0"/>
          <c:showSerName val="0"/>
          <c:showPercent val="0"/>
          <c:showBubbleSize val="0"/>
        </c:dLbls>
        <c:gapWidth val="182"/>
        <c:axId val="463047808"/>
        <c:axId val="463054368"/>
      </c:barChart>
      <c:catAx>
        <c:axId val="46304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63054368"/>
        <c:crosses val="autoZero"/>
        <c:auto val="1"/>
        <c:lblAlgn val="ctr"/>
        <c:lblOffset val="100"/>
        <c:noMultiLvlLbl val="0"/>
      </c:catAx>
      <c:valAx>
        <c:axId val="46305436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6304780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[Car_sales_csv.xlsx]Pivot taple!PivotTable2</c:name>
    <c:fmtId val="0"/>
  </c:pivotSource>
  <c:chart>
    <c:title>
      <c:tx>
        <c:rich>
          <a:bodyPr/>
          <a:lstStyle/>
          <a:p>
            <a:endParaRPr lang="en-US"/>
          </a:p>
        </c:rich>
      </c:tx>
      <c:overlay val="0"/>
      <c:spPr>
        <a:noFill/>
        <a:ln>
          <a:noFill/>
          <a:prstDash val="solid"/>
        </a:ln>
      </c:spPr>
    </c:title>
    <c:autoTitleDeleted val="0"/>
    <c:pivotFmts>
      <c:pivotFmt>
        <c:idx val="0"/>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prstDash val="solid"/>
          </a:ln>
        </c:spPr>
      </c:pivotFmt>
      <c:pivotFmt>
        <c:idx val="2"/>
        <c:spPr>
          <a:solidFill>
            <a:schemeClr val="accent1"/>
          </a:solidFill>
          <a:ln w="19050">
            <a:solidFill>
              <a:schemeClr val="lt1"/>
            </a:solidFill>
            <a:prstDash val="solid"/>
          </a:ln>
        </c:spPr>
      </c:pivotFmt>
    </c:pivotFmts>
    <c:plotArea>
      <c:layout>
        <c:manualLayout>
          <c:layoutTarget val="inner"/>
          <c:xMode val="edge"/>
          <c:yMode val="edge"/>
          <c:x val="0.19287445319335081"/>
          <c:y val="0.26328484981044042"/>
          <c:w val="0.41147353455818031"/>
          <c:h val="0.68578922426363376"/>
        </c:manualLayout>
      </c:layout>
      <c:pieChart>
        <c:varyColors val="1"/>
        <c:ser>
          <c:idx val="0"/>
          <c:order val="0"/>
          <c:tx>
            <c:strRef>
              <c:f>'Pivot taple'!$D$3</c:f>
              <c:strCache>
                <c:ptCount val="1"/>
                <c:pt idx="0">
                  <c:v>Total</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48C-42F1-A67F-C60D8B3D398A}"/>
              </c:ext>
            </c:extLst>
          </c:dPt>
          <c:dPt>
            <c:idx val="1"/>
            <c:bubble3D val="0"/>
            <c:spPr>
              <a:solidFill>
                <a:schemeClr val="accent1"/>
              </a:solidFill>
              <a:ln w="19050">
                <a:solidFill>
                  <a:schemeClr val="lt1"/>
                </a:solidFill>
                <a:prstDash val="solid"/>
              </a:ln>
            </c:spPr>
            <c:extLst>
              <c:ext xmlns:c16="http://schemas.microsoft.com/office/drawing/2014/chart" uri="{C3380CC4-5D6E-409C-BE32-E72D297353CC}">
                <c16:uniqueId val="{00000003-C48C-42F1-A67F-C60D8B3D398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 taple'!$C$4:$C$6</c:f>
              <c:strCache>
                <c:ptCount val="2"/>
                <c:pt idx="0">
                  <c:v>Car</c:v>
                </c:pt>
                <c:pt idx="1">
                  <c:v>Passenger</c:v>
                </c:pt>
              </c:strCache>
            </c:strRef>
          </c:cat>
          <c:val>
            <c:numRef>
              <c:f>'Pivot taple'!$D$4:$D$6</c:f>
              <c:numCache>
                <c:formatCode>0.0000</c:formatCode>
                <c:ptCount val="2"/>
                <c:pt idx="0">
                  <c:v>26.321999999999992</c:v>
                </c:pt>
                <c:pt idx="1">
                  <c:v>27.694910714285708</c:v>
                </c:pt>
              </c:numCache>
            </c:numRef>
          </c:val>
          <c:extLst>
            <c:ext xmlns:c16="http://schemas.microsoft.com/office/drawing/2014/chart" uri="{C3380CC4-5D6E-409C-BE32-E72D297353CC}">
              <c16:uniqueId val="{00000004-C48C-42F1-A67F-C60D8B3D398A}"/>
            </c:ext>
          </c:extLst>
        </c:ser>
        <c:dLbls>
          <c:showLegendKey val="0"/>
          <c:showVal val="0"/>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[Car_sales_csv.xlsx]Pivot taple!PivotTable3</c:name>
    <c:fmtId val="1"/>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r>
              <a:rPr lang="en-US"/>
              <a:t>Top 10 Models by Resale Value </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taple'!$K$5</c:f>
              <c:strCache>
                <c:ptCount val="1"/>
                <c:pt idx="0">
                  <c:v>Total</c:v>
                </c:pt>
              </c:strCache>
            </c:strRef>
          </c:tx>
          <c:spPr>
            <a:solidFill>
              <a:schemeClr val="accent1"/>
            </a:solidFill>
            <a:ln>
              <a:noFill/>
              <a:prstDash val="solid"/>
            </a:ln>
          </c:spPr>
          <c:invertIfNegative val="0"/>
          <c:cat>
            <c:strRef>
              <c:f>'Pivot taple'!$J$6:$J$16</c:f>
              <c:strCache>
                <c:ptCount val="10"/>
                <c:pt idx="0">
                  <c:v>Chevrolet</c:v>
                </c:pt>
                <c:pt idx="1">
                  <c:v>Dodge</c:v>
                </c:pt>
                <c:pt idx="2">
                  <c:v>Ford</c:v>
                </c:pt>
                <c:pt idx="3">
                  <c:v>Mercedes-B</c:v>
                </c:pt>
                <c:pt idx="4">
                  <c:v>Mercury</c:v>
                </c:pt>
                <c:pt idx="5">
                  <c:v>Mitsubishi</c:v>
                </c:pt>
                <c:pt idx="6">
                  <c:v>Nissan</c:v>
                </c:pt>
                <c:pt idx="7">
                  <c:v>Saturn</c:v>
                </c:pt>
                <c:pt idx="8">
                  <c:v>Toyota</c:v>
                </c:pt>
                <c:pt idx="9">
                  <c:v>Volkswagen</c:v>
                </c:pt>
              </c:strCache>
            </c:strRef>
          </c:cat>
          <c:val>
            <c:numRef>
              <c:f>'Pivot taple'!$K$6:$K$16</c:f>
              <c:numCache>
                <c:formatCode>0.00%</c:formatCode>
                <c:ptCount val="10"/>
                <c:pt idx="0">
                  <c:v>0.10838801757780948</c:v>
                </c:pt>
                <c:pt idx="1">
                  <c:v>0.12241319622318902</c:v>
                </c:pt>
                <c:pt idx="2">
                  <c:v>0.13353980570497537</c:v>
                </c:pt>
                <c:pt idx="3">
                  <c:v>9.3576014712848224E-2</c:v>
                </c:pt>
                <c:pt idx="4">
                  <c:v>7.1990306501520607E-2</c:v>
                </c:pt>
                <c:pt idx="5">
                  <c:v>7.9800112550515778E-2</c:v>
                </c:pt>
                <c:pt idx="6">
                  <c:v>8.6304846821355391E-2</c:v>
                </c:pt>
                <c:pt idx="7">
                  <c:v>8.4238986236384081E-2</c:v>
                </c:pt>
                <c:pt idx="8">
                  <c:v>0.12765500399323693</c:v>
                </c:pt>
                <c:pt idx="9">
                  <c:v>9.2093709678165145E-2</c:v>
                </c:pt>
              </c:numCache>
            </c:numRef>
          </c:val>
          <c:extLst>
            <c:ext xmlns:c16="http://schemas.microsoft.com/office/drawing/2014/chart" uri="{C3380CC4-5D6E-409C-BE32-E72D297353CC}">
              <c16:uniqueId val="{00000000-DA98-4E4C-9902-A0DD10A0C1CA}"/>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0"/>
        <c:majorTickMark val="out"/>
        <c:minorTickMark val="none"/>
        <c:tickLblPos val="nextTo"/>
        <c:crossAx val="100"/>
        <c:crosses val="autoZero"/>
        <c:auto val="1"/>
        <c:lblAlgn val="ctr"/>
        <c:lblOffset val="100"/>
        <c:noMultiLvlLbl val="1"/>
      </c:catAx>
      <c:valAx>
        <c:axId val="100"/>
        <c:scaling>
          <c:orientation val="minMax"/>
        </c:scaling>
        <c:delete val="0"/>
        <c:axPos val="b"/>
        <c:numFmt formatCode="0.00%" sourceLinked="1"/>
        <c:majorTickMark val="out"/>
        <c:minorTickMark val="none"/>
        <c:tickLblPos val="nextTo"/>
        <c:crossAx val="10"/>
        <c:crosses val="autoZero"/>
        <c:crossBetween val="between"/>
      </c:valAx>
    </c:plotArea>
    <c:plotVisOnly val="1"/>
    <c:dispBlanksAs val="zero"/>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[Car_sales_csv.xlsx]Pivot taple!PivotTable4</c:name>
    <c:fmtId val="1"/>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r>
              <a:rPr lang="en-US"/>
              <a:t>Average Price Car vs. Passenger</a:t>
            </a:r>
          </a:p>
          <a:p>
            <a:pPr marL="0" marR="0" lvl="0" indent="0" algn="ctr" defTabSz="914400" rtl="0" eaLnBrk="1" fontAlgn="auto" latinLnBrk="0" hangingPunct="1">
              <a:defRPr sz="1400" b="0" i="0" strike="noStrike" kern="1200" spc="0" baseline="0">
                <a:solidFill>
                  <a:sysClr val="windowText" lastClr="000000">
                    <a:lumOff val="35000"/>
                    <a:lumMod val="65000"/>
                  </a:sysClr>
                </a:solidFill>
                <a:latin typeface="+mn-lt"/>
                <a:ea typeface="+mn-ea"/>
                <a:cs typeface="+mn-cs"/>
              </a:defRPr>
            </a:pP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taple'!$N$8</c:f>
              <c:strCache>
                <c:ptCount val="1"/>
                <c:pt idx="0">
                  <c:v>Total</c:v>
                </c:pt>
              </c:strCache>
            </c:strRef>
          </c:tx>
          <c:spPr>
            <a:solidFill>
              <a:schemeClr val="accent1"/>
            </a:solidFill>
            <a:ln>
              <a:noFill/>
              <a:prstDash val="solid"/>
            </a:ln>
          </c:spPr>
          <c:invertIfNegative val="0"/>
          <c:cat>
            <c:strRef>
              <c:f>'Pivot taple'!$M$9:$M$19</c:f>
              <c:strCache>
                <c:ptCount val="10"/>
                <c:pt idx="0">
                  <c:v>Accord</c:v>
                </c:pt>
                <c:pt idx="1">
                  <c:v>Camry</c:v>
                </c:pt>
                <c:pt idx="2">
                  <c:v>Caravan</c:v>
                </c:pt>
                <c:pt idx="3">
                  <c:v>Civic</c:v>
                </c:pt>
                <c:pt idx="4">
                  <c:v>Explorer</c:v>
                </c:pt>
                <c:pt idx="5">
                  <c:v>Focus</c:v>
                </c:pt>
                <c:pt idx="6">
                  <c:v>F-Series</c:v>
                </c:pt>
                <c:pt idx="7">
                  <c:v>Ram Pickup</c:v>
                </c:pt>
                <c:pt idx="8">
                  <c:v>Ranger</c:v>
                </c:pt>
                <c:pt idx="9">
                  <c:v>Taurus</c:v>
                </c:pt>
              </c:strCache>
            </c:strRef>
          </c:cat>
          <c:val>
            <c:numRef>
              <c:f>'Pivot taple'!$N$9:$N$19</c:f>
              <c:numCache>
                <c:formatCode>0.000</c:formatCode>
                <c:ptCount val="10"/>
                <c:pt idx="0">
                  <c:v>230.9</c:v>
                </c:pt>
                <c:pt idx="1">
                  <c:v>248</c:v>
                </c:pt>
                <c:pt idx="2">
                  <c:v>181.7</c:v>
                </c:pt>
                <c:pt idx="3">
                  <c:v>199.7</c:v>
                </c:pt>
                <c:pt idx="4">
                  <c:v>276.7</c:v>
                </c:pt>
                <c:pt idx="5">
                  <c:v>175.7</c:v>
                </c:pt>
                <c:pt idx="6">
                  <c:v>540.6</c:v>
                </c:pt>
                <c:pt idx="7">
                  <c:v>227.1</c:v>
                </c:pt>
                <c:pt idx="8">
                  <c:v>220.7</c:v>
                </c:pt>
                <c:pt idx="9">
                  <c:v>245.8</c:v>
                </c:pt>
              </c:numCache>
            </c:numRef>
          </c:val>
          <c:extLst>
            <c:ext xmlns:c16="http://schemas.microsoft.com/office/drawing/2014/chart" uri="{C3380CC4-5D6E-409C-BE32-E72D297353CC}">
              <c16:uniqueId val="{00000000-150F-4F55-857E-606C7CAFE971}"/>
            </c:ext>
          </c:extLst>
        </c:ser>
        <c:dLbls>
          <c:showLegendKey val="0"/>
          <c:showVal val="0"/>
          <c:showCatName val="0"/>
          <c:showSerName val="0"/>
          <c:showPercent val="0"/>
          <c:showBubbleSize val="0"/>
        </c:dLbls>
        <c:gapWidth val="219"/>
        <c:overlap val="-27"/>
        <c:axId val="1295875344"/>
        <c:axId val="1295873376"/>
      </c:barChart>
      <c:catAx>
        <c:axId val="12958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95873376"/>
        <c:crosses val="autoZero"/>
        <c:auto val="1"/>
        <c:lblAlgn val="ctr"/>
        <c:lblOffset val="100"/>
        <c:noMultiLvlLbl val="0"/>
      </c:catAx>
      <c:valAx>
        <c:axId val="12958733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95875344"/>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1209675</xdr:colOff>
      <xdr:row>4</xdr:row>
      <xdr:rowOff>176211</xdr:rowOff>
    </xdr:from>
    <xdr:to>
      <xdr:col>11</xdr:col>
      <xdr:colOff>304800</xdr:colOff>
      <xdr:row>20</xdr:row>
      <xdr:rowOff>57150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21</xdr:row>
      <xdr:rowOff>38101</xdr:rowOff>
    </xdr:from>
    <xdr:to>
      <xdr:col>21</xdr:col>
      <xdr:colOff>66675</xdr:colOff>
      <xdr:row>35</xdr:row>
      <xdr:rowOff>95251</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1209676</xdr:colOff>
      <xdr:row>20</xdr:row>
      <xdr:rowOff>161925</xdr:rowOff>
    </xdr:from>
    <xdr:to>
      <xdr:col>11</xdr:col>
      <xdr:colOff>257176</xdr:colOff>
      <xdr:row>36</xdr:row>
      <xdr:rowOff>19050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409576</xdr:colOff>
      <xdr:row>5</xdr:row>
      <xdr:rowOff>1</xdr:rowOff>
    </xdr:from>
    <xdr:to>
      <xdr:col>20</xdr:col>
      <xdr:colOff>590550</xdr:colOff>
      <xdr:row>20</xdr:row>
      <xdr:rowOff>85725</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0</xdr:rowOff>
    </xdr:from>
    <xdr:to>
      <xdr:col>1</xdr:col>
      <xdr:colOff>1038225</xdr:colOff>
      <xdr:row>41</xdr:row>
      <xdr:rowOff>152400</xdr:rowOff>
    </xdr:to>
    <xdr:sp macro="" textlink="">
      <xdr:nvSpPr>
        <xdr:cNvPr id="6" name="Rectangle: Rounded Corners 5">
          <a:extLst>
            <a:ext uri="{FF2B5EF4-FFF2-40B4-BE49-F238E27FC236}">
              <a16:creationId xmlns:a16="http://schemas.microsoft.com/office/drawing/2014/main" id="{0968C573-455B-4B2B-9444-DE67E5E7461F}"/>
            </a:ext>
          </a:extLst>
        </xdr:cNvPr>
        <xdr:cNvSpPr/>
      </xdr:nvSpPr>
      <xdr:spPr>
        <a:xfrm>
          <a:off x="0" y="1333500"/>
          <a:ext cx="1647825" cy="7200900"/>
        </a:xfrm>
        <a:prstGeom prst="roundRect">
          <a:avLst/>
        </a:prstGeom>
        <a:solidFill>
          <a:srgbClr val="1F293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38100</xdr:colOff>
      <xdr:row>4</xdr:row>
      <xdr:rowOff>47626</xdr:rowOff>
    </xdr:from>
    <xdr:to>
      <xdr:col>1</xdr:col>
      <xdr:colOff>1038225</xdr:colOff>
      <xdr:row>11</xdr:row>
      <xdr:rowOff>123826</xdr:rowOff>
    </xdr:to>
    <mc:AlternateContent xmlns:mc="http://schemas.openxmlformats.org/markup-compatibility/2006" xmlns:a14="http://schemas.microsoft.com/office/drawing/2010/main">
      <mc:Choice Requires="a14">
        <xdr:graphicFrame macro="">
          <xdr:nvGraphicFramePr>
            <xdr:cNvPr id="7" name="Manufacturer">
              <a:extLst>
                <a:ext uri="{FF2B5EF4-FFF2-40B4-BE49-F238E27FC236}">
                  <a16:creationId xmlns:a16="http://schemas.microsoft.com/office/drawing/2014/main" id="{600F0960-1255-47EC-B51B-3C82F0050195}"/>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38100" y="1381126"/>
              <a:ext cx="1609725"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66675</xdr:rowOff>
    </xdr:from>
    <xdr:to>
      <xdr:col>1</xdr:col>
      <xdr:colOff>1019175</xdr:colOff>
      <xdr:row>17</xdr:row>
      <xdr:rowOff>104774</xdr:rowOff>
    </xdr:to>
    <mc:AlternateContent xmlns:mc="http://schemas.openxmlformats.org/markup-compatibility/2006" xmlns:a14="http://schemas.microsoft.com/office/drawing/2010/main">
      <mc:Choice Requires="a14">
        <xdr:graphicFrame macro="">
          <xdr:nvGraphicFramePr>
            <xdr:cNvPr id="8" name="Vehicle_type">
              <a:extLst>
                <a:ext uri="{FF2B5EF4-FFF2-40B4-BE49-F238E27FC236}">
                  <a16:creationId xmlns:a16="http://schemas.microsoft.com/office/drawing/2014/main" id="{78FBD6A7-5836-4342-9219-DA569911DA41}"/>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0" y="2924175"/>
              <a:ext cx="1628775"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57151</xdr:rowOff>
    </xdr:from>
    <xdr:to>
      <xdr:col>1</xdr:col>
      <xdr:colOff>1009649</xdr:colOff>
      <xdr:row>25</xdr:row>
      <xdr:rowOff>123825</xdr:rowOff>
    </xdr:to>
    <mc:AlternateContent xmlns:mc="http://schemas.openxmlformats.org/markup-compatibility/2006" xmlns:a14="http://schemas.microsoft.com/office/drawing/2010/main">
      <mc:Choice Requires="a14">
        <xdr:graphicFrame macro="">
          <xdr:nvGraphicFramePr>
            <xdr:cNvPr id="9" name="Fuel_efficiency">
              <a:extLst>
                <a:ext uri="{FF2B5EF4-FFF2-40B4-BE49-F238E27FC236}">
                  <a16:creationId xmlns:a16="http://schemas.microsoft.com/office/drawing/2014/main" id="{67D607AD-5293-41D9-8C3A-A5C0404AB570}"/>
                </a:ext>
              </a:extLst>
            </xdr:cNvPr>
            <xdr:cNvGraphicFramePr/>
          </xdr:nvGraphicFramePr>
          <xdr:xfrm>
            <a:off x="0" y="0"/>
            <a:ext cx="0" cy="0"/>
          </xdr:xfrm>
          <a:graphic>
            <a:graphicData uri="http://schemas.microsoft.com/office/drawing/2010/slicer">
              <sle:slicer xmlns:sle="http://schemas.microsoft.com/office/drawing/2010/slicer" name="Fuel_efficiency"/>
            </a:graphicData>
          </a:graphic>
        </xdr:graphicFrame>
      </mc:Choice>
      <mc:Fallback xmlns="">
        <xdr:sp macro="" textlink="">
          <xdr:nvSpPr>
            <xdr:cNvPr id="0" name=""/>
            <xdr:cNvSpPr>
              <a:spLocks noTextEdit="1"/>
            </xdr:cNvSpPr>
          </xdr:nvSpPr>
          <xdr:spPr>
            <a:xfrm>
              <a:off x="0" y="4057651"/>
              <a:ext cx="1619249" cy="1400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76201</xdr:rowOff>
    </xdr:from>
    <xdr:to>
      <xdr:col>1</xdr:col>
      <xdr:colOff>1047750</xdr:colOff>
      <xdr:row>35</xdr:row>
      <xdr:rowOff>19051</xdr:rowOff>
    </xdr:to>
    <mc:AlternateContent xmlns:mc="http://schemas.openxmlformats.org/markup-compatibility/2006" xmlns:a14="http://schemas.microsoft.com/office/drawing/2010/main">
      <mc:Choice Requires="a14">
        <xdr:graphicFrame macro="">
          <xdr:nvGraphicFramePr>
            <xdr:cNvPr id="10" name="Latest_Launch">
              <a:extLst>
                <a:ext uri="{FF2B5EF4-FFF2-40B4-BE49-F238E27FC236}">
                  <a16:creationId xmlns:a16="http://schemas.microsoft.com/office/drawing/2014/main" id="{6EECA899-451C-4D5E-B80F-6303484EA08C}"/>
                </a:ext>
              </a:extLst>
            </xdr:cNvPr>
            <xdr:cNvGraphicFramePr/>
          </xdr:nvGraphicFramePr>
          <xdr:xfrm>
            <a:off x="0" y="0"/>
            <a:ext cx="0" cy="0"/>
          </xdr:xfrm>
          <a:graphic>
            <a:graphicData uri="http://schemas.microsoft.com/office/drawing/2010/slicer">
              <sle:slicer xmlns:sle="http://schemas.microsoft.com/office/drawing/2010/slicer" name="Latest_Launch"/>
            </a:graphicData>
          </a:graphic>
        </xdr:graphicFrame>
      </mc:Choice>
      <mc:Fallback xmlns="">
        <xdr:sp macro="" textlink="">
          <xdr:nvSpPr>
            <xdr:cNvPr id="0" name=""/>
            <xdr:cNvSpPr>
              <a:spLocks noTextEdit="1"/>
            </xdr:cNvSpPr>
          </xdr:nvSpPr>
          <xdr:spPr>
            <a:xfrm>
              <a:off x="0" y="5600701"/>
              <a:ext cx="165735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180976</xdr:colOff>
      <xdr:row>1</xdr:row>
      <xdr:rowOff>28575</xdr:rowOff>
    </xdr:from>
    <xdr:to>
      <xdr:col>19</xdr:col>
      <xdr:colOff>104776</xdr:colOff>
      <xdr:row>2</xdr:row>
      <xdr:rowOff>447675</xdr:rowOff>
    </xdr:to>
    <xdr:sp macro="" textlink="">
      <xdr:nvSpPr>
        <xdr:cNvPr id="11" name="TextBox 10">
          <a:extLst>
            <a:ext uri="{FF2B5EF4-FFF2-40B4-BE49-F238E27FC236}">
              <a16:creationId xmlns:a16="http://schemas.microsoft.com/office/drawing/2014/main" id="{E7700735-251A-40F1-8A59-C53AB883B97A}"/>
            </a:ext>
          </a:extLst>
        </xdr:cNvPr>
        <xdr:cNvSpPr txBox="1"/>
      </xdr:nvSpPr>
      <xdr:spPr>
        <a:xfrm>
          <a:off x="10563226" y="219075"/>
          <a:ext cx="6267450" cy="800100"/>
        </a:xfrm>
        <a:prstGeom prst="rect">
          <a:avLst/>
        </a:prstGeom>
        <a:solidFill>
          <a:srgbClr val="1F2937"/>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bg2"/>
              </a:solidFill>
              <a:effectLst/>
              <a:latin typeface="+mn-lt"/>
              <a:ea typeface="+mn-ea"/>
              <a:cs typeface="+mn-cs"/>
            </a:rPr>
            <a:t>Car Sales Insights Dashboard</a:t>
          </a:r>
          <a:endParaRPr lang="en-US" sz="2800">
            <a:solidFill>
              <a:schemeClr val="bg2"/>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1685924</xdr:colOff>
      <xdr:row>14</xdr:row>
      <xdr:rowOff>33337</xdr:rowOff>
    </xdr:from>
    <xdr:to>
      <xdr:col>6</xdr:col>
      <xdr:colOff>504824</xdr:colOff>
      <xdr:row>28</xdr:row>
      <xdr:rowOff>109537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80962</xdr:rowOff>
    </xdr:from>
    <xdr:to>
      <xdr:col>3</xdr:col>
      <xdr:colOff>485775</xdr:colOff>
      <xdr:row>33</xdr:row>
      <xdr:rowOff>157162</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1638300</xdr:colOff>
      <xdr:row>29</xdr:row>
      <xdr:rowOff>9525</xdr:rowOff>
    </xdr:from>
    <xdr:to>
      <xdr:col>9</xdr:col>
      <xdr:colOff>371475</xdr:colOff>
      <xdr:row>43</xdr:row>
      <xdr:rowOff>85725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247650</xdr:colOff>
      <xdr:row>20</xdr:row>
      <xdr:rowOff>176212</xdr:rowOff>
    </xdr:from>
    <xdr:to>
      <xdr:col>13</xdr:col>
      <xdr:colOff>1171575</xdr:colOff>
      <xdr:row>35</xdr:row>
      <xdr:rowOff>61912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da" refreshedDate="46124.963716782397" createdVersion="7" refreshedVersion="7" minRefreshableVersion="3" recordCount="152" xr:uid="{00000000-000A-0000-FFFF-FFFF02000000}">
  <cacheSource type="worksheet">
    <worksheetSource name="Car_sales"/>
  </cacheSource>
  <cacheFields count="19">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Model" numFmtId="0">
      <sharedItems count="151">
        <s v="Integra"/>
        <s v="TL"/>
        <s v="RL"/>
        <s v="A4"/>
        <s v="A6"/>
        <s v="A8"/>
        <s v="323i"/>
        <s v="328i"/>
        <s v="528i"/>
        <s v="Century"/>
        <s v="Regal"/>
        <s v="Park Avenue"/>
        <s v="LeSabre"/>
        <s v="DeVille"/>
        <s v="Eldorado"/>
        <s v="Catera"/>
        <s v="Escalade"/>
        <s v="Cavalier"/>
        <s v="Malibu"/>
        <s v="Lumina"/>
        <s v="Monte Carlo"/>
        <s v="Camaro"/>
        <s v="Corvette"/>
        <s v="Prizm"/>
        <s v="Metro"/>
        <s v="Impala"/>
        <s v="Sebring Coupe"/>
        <s v="Sebring Conv."/>
        <s v="Concorde"/>
        <s v="Cirrus"/>
        <s v="LHS"/>
        <s v="300M"/>
        <s v="Neon"/>
        <s v="Avenger"/>
        <s v="Stratus"/>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Alero"/>
        <s v="Aurora"/>
        <s v="Bravada"/>
        <s v="Silhouette"/>
        <s v="Breeze"/>
        <s v="Voyager"/>
        <s v="Prowler"/>
        <s v="Sunfire"/>
        <s v="Grand Am"/>
        <s v="Firebird"/>
        <s v="Grand Prix"/>
        <s v="Bonneville"/>
        <s v="Montana"/>
        <s v="Boxter"/>
        <s v="Carrera Coupe"/>
        <s v="Carrera Cabrio"/>
        <s v="5-Sep"/>
        <s v="3-Sep"/>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Sales_in_thousands" numFmtId="0">
      <sharedItems containsSemiMixedTypes="0" containsString="0" containsNumber="1" minValue="0.1" maxValue="540.6"/>
    </cacheField>
    <cacheField name="__year_resale_value" numFmtId="0">
      <sharedItems containsSemiMixedTypes="0" containsString="0" containsNumber="1" minValue="5.2" maxValue="67.599999999999994"/>
    </cacheField>
    <cacheField name="Vehicle_type" numFmtId="0">
      <sharedItems count="2">
        <s v="Passenger"/>
        <s v="Car"/>
      </sharedItems>
    </cacheField>
    <cacheField name="Price_in_thousands" numFmtId="0">
      <sharedItems containsSemiMixedTypes="0" containsString="0" containsNumber="1" minValue="9.24" maxValue="85.5"/>
    </cacheField>
    <cacheField name="Engine_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_weight" numFmtId="0">
      <sharedItems containsSemiMixedTypes="0" containsString="0" containsNumber="1" minValue="1.895" maxValue="5.5720000000000001"/>
    </cacheField>
    <cacheField name="Fuel_capacity" numFmtId="0">
      <sharedItems containsSemiMixedTypes="0" containsString="0" containsNumber="1" minValue="10.3" maxValue="32"/>
    </cacheField>
    <cacheField name="Fuel_efficiency" numFmtId="0">
      <sharedItems containsSemiMixedTypes="0" containsString="0" containsNumber="1" containsInteger="1" minValue="15" maxValue="45" count="20">
        <n v="28"/>
        <n v="25"/>
        <n v="22"/>
        <n v="27"/>
        <n v="21"/>
        <n v="26"/>
        <n v="24"/>
        <n v="23"/>
        <n v="15"/>
        <n v="33"/>
        <n v="45"/>
        <n v="29"/>
        <n v="16"/>
        <n v="17"/>
        <n v="19"/>
        <n v="30"/>
        <n v="18"/>
        <n v="32"/>
        <n v="31"/>
        <n v="20"/>
      </sharedItems>
    </cacheField>
    <cacheField name="Latest_Launch" numFmtId="14">
      <sharedItems containsSemiMixedTypes="0" containsNonDate="0" containsDate="1" containsString="0" minDate="2008-02-13T00:00:00" maxDate="2012-12-30T00:00:00" count="127">
        <d v="2012-02-02T00:00:00"/>
        <d v="2011-06-03T00:00:00"/>
        <d v="2011-03-10T00:00:00"/>
        <d v="2011-10-08T00:00:00"/>
        <d v="2011-08-09T00:00:00"/>
        <d v="2012-02-27T00:00:00"/>
        <d v="2011-06-28T00:00:00"/>
        <d v="2012-01-29T00:00:00"/>
        <d v="2011-04-04T00:00:00"/>
        <d v="2011-11-02T00:00:00"/>
        <d v="2011-09-03T00:00:00"/>
        <d v="2012-03-23T00:00:00"/>
        <d v="2011-07-23T00:00:00"/>
        <d v="2012-02-23T00:00:00"/>
        <d v="2011-11-27T00:00:00"/>
        <d v="2011-09-28T00:00:00"/>
        <d v="2012-04-17T00:00:00"/>
        <d v="2011-08-17T00:00:00"/>
        <d v="2012-03-19T00:00:00"/>
        <d v="2011-05-24T00:00:00"/>
        <d v="2011-12-22T00:00:00"/>
        <d v="2011-10-23T00:00:00"/>
        <d v="2012-05-12T00:00:00"/>
        <d v="2011-09-11T00:00:00"/>
        <d v="2012-04-13T00:00:00"/>
        <d v="2011-06-18T00:00:00"/>
        <d v="2012-01-16T00:00:00"/>
        <d v="2011-11-17T00:00:00"/>
        <d v="2012-06-06T00:00:00"/>
        <d v="2011-10-06T00:00:00"/>
        <d v="2012-05-08T00:00:00"/>
        <d v="2012-02-10T00:00:00"/>
        <d v="2011-12-12T00:00:00"/>
        <d v="2012-07-01T00:00:00"/>
        <d v="2011-10-31T00:00:00"/>
        <d v="2011-08-07T00:00:00"/>
        <d v="2012-03-06T00:00:00"/>
        <d v="2012-01-06T00:00:00"/>
        <d v="2012-07-26T00:00:00"/>
        <d v="2011-11-25T00:00:00"/>
        <d v="2012-06-27T00:00:00"/>
        <d v="2011-09-01T00:00:00"/>
        <d v="2012-03-31T00:00:00"/>
        <d v="2012-01-31T00:00:00"/>
        <d v="2012-08-20T00:00:00"/>
        <d v="2011-12-20T00:00:00"/>
        <d v="2012-07-22T00:00:00"/>
        <d v="2011-09-26T00:00:00"/>
        <d v="2012-04-25T00:00:00"/>
        <d v="2012-02-25T00:00:00"/>
        <d v="2012-09-14T00:00:00"/>
        <d v="2012-01-14T00:00:00"/>
        <d v="2012-08-16T00:00:00"/>
        <d v="2011-10-21T00:00:00"/>
        <d v="2012-05-20T00:00:00"/>
        <d v="2012-03-21T00:00:00"/>
        <d v="2012-10-09T00:00:00"/>
        <d v="2012-02-08T00:00:00"/>
        <d v="2012-09-10T00:00:00"/>
        <d v="2011-11-15T00:00:00"/>
        <d v="2012-06-14T00:00:00"/>
        <d v="2012-04-15T00:00:00"/>
        <d v="2012-11-03T00:00:00"/>
        <d v="2012-03-04T00:00:00"/>
        <d v="2012-10-05T00:00:00"/>
        <d v="2011-12-10T00:00:00"/>
        <d v="2012-07-09T00:00:00"/>
        <d v="2012-05-10T00:00:00"/>
        <d v="2012-11-28T00:00:00"/>
        <d v="2012-03-29T00:00:00"/>
        <d v="2012-10-30T00:00:00"/>
        <d v="2012-01-04T00:00:00"/>
        <d v="2012-08-03T00:00:00"/>
        <d v="2012-06-04T00:00:00"/>
        <d v="2012-12-23T00:00:00"/>
        <d v="2012-04-23T00:00:00"/>
        <d v="2012-11-24T00:00:00"/>
        <d v="2012-08-28T00:00:00"/>
        <d v="2012-06-29T00:00:00"/>
        <d v="2012-01-17T00:00:00"/>
        <d v="2012-05-18T00:00:00"/>
        <d v="2012-12-19T00:00:00"/>
        <d v="2012-09-22T00:00:00"/>
        <d v="2012-07-24T00:00:00"/>
        <d v="2008-02-13T00:00:00"/>
        <d v="2009-10-20T00:00:00"/>
        <d v="2011-04-24T00:00:00"/>
        <d v="2011-07-12T00:00:00"/>
        <d v="2011-06-13T00:00:00"/>
        <d v="2011-03-17T00:00:00"/>
        <d v="2011-01-16T00:00:00"/>
        <d v="2011-08-06T00:00:00"/>
        <d v="2011-07-08T00:00:00"/>
        <d v="2011-04-11T00:00:00"/>
        <d v="2011-02-10T00:00:00"/>
        <d v="2011-08-31T00:00:00"/>
        <d v="2011-08-02T00:00:00"/>
        <d v="2011-05-06T00:00:00"/>
        <d v="2011-03-07T00:00:00"/>
        <d v="2011-09-25T00:00:00"/>
        <d v="2011-01-24T00:00:00"/>
        <d v="2011-08-27T00:00:00"/>
        <d v="2011-05-31T00:00:00"/>
        <d v="2011-02-18T00:00:00"/>
        <d v="2011-09-21T00:00:00"/>
        <d v="2011-06-25T00:00:00"/>
        <d v="2011-04-26T00:00:00"/>
        <d v="2011-11-14T00:00:00"/>
        <d v="2012-01-25T00:00:00"/>
        <d v="2012-11-26T00:00:00"/>
        <d v="2012-06-16T00:00:00"/>
        <d v="2012-10-15T00:00:00"/>
        <d v="2011-05-18T00:00:00"/>
        <d v="2012-02-19T00:00:00"/>
        <d v="2012-12-21T00:00:00"/>
        <d v="2011-07-11T00:00:00"/>
        <d v="2012-11-09T00:00:00"/>
        <d v="2011-06-12T00:00:00"/>
        <d v="2011-03-16T00:00:00"/>
        <d v="2011-01-15T00:00:00"/>
        <d v="2011-08-05T00:00:00"/>
        <d v="2012-12-04T00:00:00"/>
        <d v="2011-07-07T00:00:00"/>
        <d v="2012-12-29T00:00:00"/>
        <d v="2011-08-01T00:00:00"/>
        <d v="2011-04-01T00:00:00"/>
        <d v="2011-10-20T00:00:00"/>
      </sharedItems>
      <fieldGroup par="18" base="14">
        <rangePr groupBy="months" startDate="2008-02-13T00:00:00" endDate="2012-12-30T00:00:00"/>
        <groupItems count="14">
          <s v="&lt;2/13/2008"/>
          <s v="Jan"/>
          <s v="Feb"/>
          <s v="Mar"/>
          <s v="Apr"/>
          <s v="May"/>
          <s v="Jun"/>
          <s v="Jul"/>
          <s v="Aug"/>
          <s v="Sep"/>
          <s v="Oct"/>
          <s v="Nov"/>
          <s v="Dec"/>
          <s v="&gt;12/30/2012"/>
        </groupItems>
      </fieldGroup>
    </cacheField>
    <cacheField name="Power_perf_factor" numFmtId="0">
      <sharedItems containsSemiMixedTypes="0" containsString="0" containsNumber="1" minValue="23.276272330000001" maxValue="188.14432300000001"/>
    </cacheField>
    <cacheField name="Resale_Ratio" numFmtId="0">
      <sharedItems containsSemiMixedTypes="0" containsString="0" containsNumber="1" minValue="0.21871345029239769" maxValue="1.517857142857143"/>
    </cacheField>
    <cacheField name="Quarters" numFmtId="0" databaseField="0">
      <fieldGroup base="14">
        <rangePr groupBy="quarters" startDate="2008-02-13T00:00:00" endDate="2012-12-30T00:00:00"/>
        <groupItems count="6">
          <s v="&lt;2/13/2008"/>
          <s v="Qtr1"/>
          <s v="Qtr2"/>
          <s v="Qtr3"/>
          <s v="Qtr4"/>
          <s v="&gt;12/30/2012"/>
        </groupItems>
      </fieldGroup>
    </cacheField>
    <cacheField name="Years" numFmtId="0" databaseField="0">
      <fieldGroup base="14">
        <rangePr groupBy="years" startDate="2008-02-13T00:00:00" endDate="2012-12-30T00:00:00"/>
        <groupItems count="7">
          <s v="&lt;2/13/2008"/>
          <s v="2008"/>
          <s v="2009"/>
          <s v="2010"/>
          <s v="2011"/>
          <s v="2012"/>
          <s v="&gt;12/30/2012"/>
        </groupItems>
      </fieldGroup>
    </cacheField>
  </cacheFields>
  <extLst>
    <ext xmlns:x14="http://schemas.microsoft.com/office/spreadsheetml/2009/9/main" uri="{725AE2AE-9491-48be-B2B4-4EB974FC3084}">
      <x14:pivotCacheDefinition pivotCacheId="1970954026"/>
    </ext>
  </extLst>
</pivotCacheDefinition>
</file>

<file path=xl/pivotCache/pivotCacheRecords1.xml><?xml version="1.0" encoding="utf-8"?>
<pivotCacheRecords xmlns="http://schemas.openxmlformats.org/spreadsheetml/2006/main" count="152">
  <r>
    <x v="0"/>
    <x v="0"/>
    <n v="16.9"/>
    <n v="16.4"/>
    <x v="0"/>
    <n v="21.5"/>
    <n v="1.8"/>
    <n v="140"/>
    <n v="101.2"/>
    <n v="67.3"/>
    <n v="172.4"/>
    <n v="2.639"/>
    <n v="13.2"/>
    <x v="0"/>
    <x v="0"/>
    <n v="58.28014952"/>
    <n v="0.7627906976744185"/>
  </r>
  <r>
    <x v="0"/>
    <x v="1"/>
    <n v="39.4"/>
    <n v="19.9"/>
    <x v="0"/>
    <n v="28.4"/>
    <n v="3.2"/>
    <n v="225"/>
    <n v="108.1"/>
    <n v="70.3"/>
    <n v="192.9"/>
    <n v="3.517"/>
    <n v="17.2"/>
    <x v="1"/>
    <x v="1"/>
    <n v="91.37077766"/>
    <n v="0.7007042253521126"/>
  </r>
  <r>
    <x v="0"/>
    <x v="2"/>
    <n v="8.6"/>
    <n v="29.7"/>
    <x v="0"/>
    <n v="42"/>
    <n v="3.5"/>
    <n v="210"/>
    <n v="114.6"/>
    <n v="71.40000000000001"/>
    <n v="196.6"/>
    <n v="3.85"/>
    <n v="18"/>
    <x v="2"/>
    <x v="2"/>
    <n v="91.38977933"/>
    <n v="0.7071428571428571"/>
  </r>
  <r>
    <x v="1"/>
    <x v="3"/>
    <n v="20.4"/>
    <n v="22.3"/>
    <x v="0"/>
    <n v="23.99"/>
    <n v="1.8"/>
    <n v="150"/>
    <n v="102.6"/>
    <n v="68.2"/>
    <n v="178"/>
    <n v="2.998"/>
    <n v="16.4"/>
    <x v="3"/>
    <x v="3"/>
    <n v="62.7776392"/>
    <n v="0.929553980825344"/>
  </r>
  <r>
    <x v="1"/>
    <x v="4"/>
    <n v="18.8"/>
    <n v="23.6"/>
    <x v="0"/>
    <n v="33.95"/>
    <n v="2.8"/>
    <n v="200"/>
    <n v="108.7"/>
    <n v="76.09999999999999"/>
    <n v="192"/>
    <n v="3.561"/>
    <n v="18.5"/>
    <x v="2"/>
    <x v="4"/>
    <n v="84.56510502"/>
    <n v="0.695139911634757"/>
  </r>
  <r>
    <x v="1"/>
    <x v="5"/>
    <n v="1.4"/>
    <n v="39"/>
    <x v="0"/>
    <n v="62"/>
    <n v="4.2"/>
    <n v="310"/>
    <n v="113"/>
    <n v="74"/>
    <n v="198.2"/>
    <n v="3.902"/>
    <n v="23.7"/>
    <x v="4"/>
    <x v="5"/>
    <n v="134.6568582"/>
    <n v="0.6290322580645161"/>
  </r>
  <r>
    <x v="2"/>
    <x v="6"/>
    <n v="19.7"/>
    <n v="18.7"/>
    <x v="0"/>
    <n v="26.99"/>
    <n v="2.5"/>
    <n v="170"/>
    <n v="107.3"/>
    <n v="68.40000000000001"/>
    <n v="176"/>
    <n v="3.179"/>
    <n v="16.6"/>
    <x v="5"/>
    <x v="6"/>
    <n v="71.19120671"/>
    <n v="0.6928492034086698"/>
  </r>
  <r>
    <x v="2"/>
    <x v="7"/>
    <n v="9.199999999999999"/>
    <n v="28.7"/>
    <x v="0"/>
    <n v="33.4"/>
    <n v="2.8"/>
    <n v="193"/>
    <n v="107.3"/>
    <n v="68.5"/>
    <n v="176"/>
    <n v="3.197"/>
    <n v="16.6"/>
    <x v="6"/>
    <x v="7"/>
    <n v="81.87706856"/>
    <n v="0.8592814371257486"/>
  </r>
  <r>
    <x v="2"/>
    <x v="8"/>
    <n v="17.5"/>
    <n v="36.1"/>
    <x v="0"/>
    <n v="38.9"/>
    <n v="2.8"/>
    <n v="193"/>
    <n v="111.4"/>
    <n v="70.90000000000001"/>
    <n v="188"/>
    <n v="3.472"/>
    <n v="18.5"/>
    <x v="1"/>
    <x v="8"/>
    <n v="83.99872379999999"/>
    <n v="0.9280205655526993"/>
  </r>
  <r>
    <x v="3"/>
    <x v="9"/>
    <n v="91.59999999999999"/>
    <n v="12.5"/>
    <x v="0"/>
    <n v="21.98"/>
    <n v="3.1"/>
    <n v="175"/>
    <n v="109"/>
    <n v="72.7"/>
    <n v="194.6"/>
    <n v="3.368"/>
    <n v="17.5"/>
    <x v="1"/>
    <x v="9"/>
    <n v="71.18145131999999"/>
    <n v="0.5686988171064604"/>
  </r>
  <r>
    <x v="3"/>
    <x v="10"/>
    <n v="39.4"/>
    <n v="13.7"/>
    <x v="0"/>
    <n v="25.3"/>
    <n v="3.8"/>
    <n v="240"/>
    <n v="109"/>
    <n v="72.7"/>
    <n v="196.2"/>
    <n v="3.543"/>
    <n v="17.5"/>
    <x v="7"/>
    <x v="10"/>
    <n v="95.63670252999999"/>
    <n v="0.541501976284585"/>
  </r>
  <r>
    <x v="3"/>
    <x v="11"/>
    <n v="27.9"/>
    <n v="20.2"/>
    <x v="0"/>
    <n v="31.97"/>
    <n v="3.8"/>
    <n v="205"/>
    <n v="113.8"/>
    <n v="74.7"/>
    <n v="206.8"/>
    <n v="3.778"/>
    <n v="18.5"/>
    <x v="6"/>
    <x v="11"/>
    <n v="85.82840825"/>
    <n v="0.6318423522051924"/>
  </r>
  <r>
    <x v="3"/>
    <x v="12"/>
    <n v="83.3"/>
    <n v="13.4"/>
    <x v="0"/>
    <n v="27.89"/>
    <n v="3.8"/>
    <n v="205"/>
    <n v="112.2"/>
    <n v="73.5"/>
    <n v="200"/>
    <n v="3.591"/>
    <n v="17.5"/>
    <x v="1"/>
    <x v="12"/>
    <n v="84.25452581"/>
    <n v="0.4804589458587307"/>
  </r>
  <r>
    <x v="4"/>
    <x v="13"/>
    <n v="63.7"/>
    <n v="22.5"/>
    <x v="0"/>
    <n v="39.9"/>
    <n v="4.6"/>
    <n v="275"/>
    <n v="115.3"/>
    <n v="74.5"/>
    <n v="207.2"/>
    <n v="3.978"/>
    <n v="18.5"/>
    <x v="2"/>
    <x v="13"/>
    <n v="113.8545976"/>
    <n v="0.5639097744360902"/>
  </r>
  <r>
    <x v="4"/>
    <x v="14"/>
    <n v="6.5"/>
    <n v="25.7"/>
    <x v="0"/>
    <n v="39.67"/>
    <n v="4.6"/>
    <n v="275"/>
    <n v="108"/>
    <n v="75.5"/>
    <n v="200.6"/>
    <n v="3.843"/>
    <n v="19"/>
    <x v="2"/>
    <x v="14"/>
    <n v="113.7658739"/>
    <n v="0.6478447189311822"/>
  </r>
  <r>
    <x v="4"/>
    <x v="15"/>
    <n v="11.2"/>
    <n v="18.2"/>
    <x v="0"/>
    <n v="31.01"/>
    <n v="3"/>
    <n v="200"/>
    <n v="107.4"/>
    <n v="70.3"/>
    <n v="194.8"/>
    <n v="3.77"/>
    <n v="18"/>
    <x v="2"/>
    <x v="15"/>
    <n v="83.48309358"/>
    <n v="0.5869074492099322"/>
  </r>
  <r>
    <x v="4"/>
    <x v="16"/>
    <n v="14.8"/>
    <n v="18.7"/>
    <x v="1"/>
    <n v="46.23"/>
    <n v="5.7"/>
    <n v="255"/>
    <n v="117.5"/>
    <n v="77"/>
    <n v="201.2"/>
    <n v="5.572"/>
    <n v="30"/>
    <x v="8"/>
    <x v="16"/>
    <n v="109.5091165"/>
    <n v="0.4044992429158555"/>
  </r>
  <r>
    <x v="5"/>
    <x v="17"/>
    <n v="145.5"/>
    <n v="9.300000000000001"/>
    <x v="0"/>
    <n v="13.26"/>
    <n v="2.2"/>
    <n v="115"/>
    <n v="104.1"/>
    <n v="67.90000000000001"/>
    <n v="180.9"/>
    <n v="2.676"/>
    <n v="14.3"/>
    <x v="3"/>
    <x v="17"/>
    <n v="46.36334747"/>
    <n v="0.7013574660633485"/>
  </r>
  <r>
    <x v="5"/>
    <x v="18"/>
    <n v="135.1"/>
    <n v="11.2"/>
    <x v="0"/>
    <n v="16.54"/>
    <n v="3.1"/>
    <n v="170"/>
    <n v="107"/>
    <n v="69.40000000000001"/>
    <n v="190.4"/>
    <n v="3.051"/>
    <n v="15"/>
    <x v="1"/>
    <x v="18"/>
    <n v="67.31446216000001"/>
    <n v="0.6771463119709794"/>
  </r>
  <r>
    <x v="5"/>
    <x v="19"/>
    <n v="24.6"/>
    <n v="10.3"/>
    <x v="0"/>
    <n v="18.89"/>
    <n v="3.1"/>
    <n v="175"/>
    <n v="107.5"/>
    <n v="72.5"/>
    <n v="200.9"/>
    <n v="3.33"/>
    <n v="16.6"/>
    <x v="1"/>
    <x v="19"/>
    <n v="69.9913956"/>
    <n v="0.5452620434092113"/>
  </r>
  <r>
    <x v="5"/>
    <x v="20"/>
    <n v="42.6"/>
    <n v="11.5"/>
    <x v="0"/>
    <n v="19.39"/>
    <n v="3.4"/>
    <n v="180"/>
    <n v="110.5"/>
    <n v="72.7"/>
    <n v="197.9"/>
    <n v="3.34"/>
    <n v="17"/>
    <x v="3"/>
    <x v="20"/>
    <n v="72.03091719"/>
    <n v="0.593089221248066"/>
  </r>
  <r>
    <x v="5"/>
    <x v="21"/>
    <n v="26.4"/>
    <n v="13"/>
    <x v="0"/>
    <n v="24.34"/>
    <n v="3.8"/>
    <n v="200"/>
    <n v="101.1"/>
    <n v="74.09999999999999"/>
    <n v="193.2"/>
    <n v="3.5"/>
    <n v="16.8"/>
    <x v="1"/>
    <x v="21"/>
    <n v="81.11854332999999"/>
    <n v="0.5341002465078061"/>
  </r>
  <r>
    <x v="5"/>
    <x v="22"/>
    <n v="17.9"/>
    <n v="36.2"/>
    <x v="0"/>
    <n v="45.71"/>
    <n v="5.7"/>
    <n v="345"/>
    <n v="104.5"/>
    <n v="73.59999999999999"/>
    <n v="179.7"/>
    <n v="3.21"/>
    <n v="19.1"/>
    <x v="2"/>
    <x v="22"/>
    <n v="141.14115"/>
    <n v="0.7919492452417415"/>
  </r>
  <r>
    <x v="5"/>
    <x v="23"/>
    <n v="32.3"/>
    <n v="9.1"/>
    <x v="0"/>
    <n v="13.96"/>
    <n v="1.8"/>
    <n v="120"/>
    <n v="97.09999999999999"/>
    <n v="66.7"/>
    <n v="174.3"/>
    <n v="2.398"/>
    <n v="13.2"/>
    <x v="9"/>
    <x v="23"/>
    <n v="48.2976361"/>
    <n v="0.651862464183381"/>
  </r>
  <r>
    <x v="5"/>
    <x v="24"/>
    <n v="21.9"/>
    <n v="5.2"/>
    <x v="0"/>
    <n v="9.24"/>
    <n v="1"/>
    <n v="55"/>
    <n v="93.09999999999999"/>
    <n v="62.6"/>
    <n v="149.4"/>
    <n v="1.895"/>
    <n v="10.3"/>
    <x v="10"/>
    <x v="24"/>
    <n v="23.27627233"/>
    <n v="0.5627705627705628"/>
  </r>
  <r>
    <x v="5"/>
    <x v="25"/>
    <n v="108"/>
    <n v="18.7"/>
    <x v="0"/>
    <n v="18.89"/>
    <n v="3.4"/>
    <n v="180"/>
    <n v="110.5"/>
    <n v="73"/>
    <n v="200"/>
    <n v="3.389"/>
    <n v="17"/>
    <x v="3"/>
    <x v="25"/>
    <n v="71.83803944"/>
    <n v="0.9899417681312863"/>
  </r>
  <r>
    <x v="6"/>
    <x v="26"/>
    <n v="7.9"/>
    <n v="12.4"/>
    <x v="0"/>
    <n v="19.84"/>
    <n v="2.5"/>
    <n v="163"/>
    <n v="103.7"/>
    <n v="69.7"/>
    <n v="190.9"/>
    <n v="2.967"/>
    <n v="15.9"/>
    <x v="6"/>
    <x v="26"/>
    <n v="65.95718395999999"/>
    <n v="0.625"/>
  </r>
  <r>
    <x v="6"/>
    <x v="27"/>
    <n v="32.8"/>
    <n v="14.2"/>
    <x v="0"/>
    <n v="24.5"/>
    <n v="2.5"/>
    <n v="168"/>
    <n v="106"/>
    <n v="69.2"/>
    <n v="193"/>
    <n v="3.332"/>
    <n v="16"/>
    <x v="6"/>
    <x v="27"/>
    <n v="69.52135505"/>
    <n v="0.5795918367346938"/>
  </r>
  <r>
    <x v="6"/>
    <x v="28"/>
    <n v="31.1"/>
    <n v="13.7"/>
    <x v="0"/>
    <n v="22.25"/>
    <n v="2.7"/>
    <n v="200"/>
    <n v="113"/>
    <n v="74.40000000000001"/>
    <n v="209.1"/>
    <n v="3.452"/>
    <n v="17"/>
    <x v="5"/>
    <x v="28"/>
    <n v="80.02378204"/>
    <n v="0.6157303370786517"/>
  </r>
  <r>
    <x v="6"/>
    <x v="29"/>
    <n v="32.3"/>
    <n v="12.6"/>
    <x v="0"/>
    <n v="16.48"/>
    <n v="2"/>
    <n v="132"/>
    <n v="108"/>
    <n v="71"/>
    <n v="186"/>
    <n v="2.911"/>
    <n v="16"/>
    <x v="3"/>
    <x v="29"/>
    <n v="53.56619987"/>
    <n v="0.7645631067961165"/>
  </r>
  <r>
    <x v="6"/>
    <x v="30"/>
    <n v="13.5"/>
    <n v="17.3"/>
    <x v="0"/>
    <n v="28.34"/>
    <n v="3.5"/>
    <n v="253"/>
    <n v="113"/>
    <n v="74.40000000000001"/>
    <n v="207.7"/>
    <n v="3.564"/>
    <n v="17"/>
    <x v="7"/>
    <x v="30"/>
    <n v="101.3292807"/>
    <n v="0.6104446012702893"/>
  </r>
  <r>
    <x v="6"/>
    <x v="31"/>
    <n v="30.7"/>
    <n v="18.7"/>
    <x v="0"/>
    <n v="29.19"/>
    <n v="3.5"/>
    <n v="253"/>
    <n v="113"/>
    <n v="74.40000000000001"/>
    <n v="197.8"/>
    <n v="3.567"/>
    <n v="17"/>
    <x v="7"/>
    <x v="31"/>
    <n v="101.6552441"/>
    <n v="0.6406303528605687"/>
  </r>
  <r>
    <x v="7"/>
    <x v="32"/>
    <n v="76"/>
    <n v="7.8"/>
    <x v="0"/>
    <n v="12.64"/>
    <n v="2"/>
    <n v="132"/>
    <n v="105"/>
    <n v="74.40000000000001"/>
    <n v="174.4"/>
    <n v="2.567"/>
    <n v="12.5"/>
    <x v="11"/>
    <x v="32"/>
    <n v="52.08489875"/>
    <n v="0.6170886075949367"/>
  </r>
  <r>
    <x v="7"/>
    <x v="33"/>
    <n v="4.7"/>
    <n v="12.5"/>
    <x v="0"/>
    <n v="19.05"/>
    <n v="2.5"/>
    <n v="163"/>
    <n v="103.7"/>
    <n v="69.09999999999999"/>
    <n v="190.2"/>
    <n v="2.879"/>
    <n v="15.9"/>
    <x v="6"/>
    <x v="33"/>
    <n v="65.65050834"/>
    <n v="0.6561679790026247"/>
  </r>
  <r>
    <x v="7"/>
    <x v="34"/>
    <n v="71.2"/>
    <n v="10.2"/>
    <x v="0"/>
    <n v="20.23"/>
    <n v="2.5"/>
    <n v="168"/>
    <n v="108"/>
    <n v="71"/>
    <n v="186"/>
    <n v="3.058"/>
    <n v="16"/>
    <x v="6"/>
    <x v="34"/>
    <n v="67.87610784"/>
    <n v="0.5042016806722689"/>
  </r>
  <r>
    <x v="7"/>
    <x v="35"/>
    <n v="0.9"/>
    <n v="58.5"/>
    <x v="0"/>
    <n v="69.73"/>
    <n v="8"/>
    <n v="450"/>
    <n v="96.2"/>
    <n v="75.7"/>
    <n v="176.7"/>
    <n v="3.375"/>
    <n v="19"/>
    <x v="12"/>
    <x v="35"/>
    <n v="188.144323"/>
    <n v="0.8389502366269898"/>
  </r>
  <r>
    <x v="7"/>
    <x v="36"/>
    <n v="227.1"/>
    <n v="15.1"/>
    <x v="1"/>
    <n v="19.46"/>
    <n v="5.2"/>
    <n v="230"/>
    <n v="138.7"/>
    <n v="79.3"/>
    <n v="224.2"/>
    <n v="4.47"/>
    <n v="26"/>
    <x v="13"/>
    <x v="36"/>
    <n v="90.21170005"/>
    <n v="0.775950668036999"/>
  </r>
  <r>
    <x v="7"/>
    <x v="37"/>
    <n v="16.8"/>
    <n v="15.5"/>
    <x v="1"/>
    <n v="21.32"/>
    <n v="3.9"/>
    <n v="175"/>
    <n v="109.6"/>
    <n v="78.8"/>
    <n v="192.6"/>
    <n v="4.245"/>
    <n v="32"/>
    <x v="8"/>
    <x v="37"/>
    <n v="71.13529161"/>
    <n v="0.7270168855534709"/>
  </r>
  <r>
    <x v="7"/>
    <x v="38"/>
    <n v="31"/>
    <n v="13.4"/>
    <x v="1"/>
    <n v="18.58"/>
    <n v="3.9"/>
    <n v="175"/>
    <n v="127.2"/>
    <n v="78.8"/>
    <n v="208.5"/>
    <n v="4.298"/>
    <n v="32"/>
    <x v="12"/>
    <x v="38"/>
    <n v="70.07832154"/>
    <n v="0.7212055974165771"/>
  </r>
  <r>
    <x v="7"/>
    <x v="39"/>
    <n v="111.3"/>
    <n v="11.3"/>
    <x v="1"/>
    <n v="16.98"/>
    <n v="2.5"/>
    <n v="120"/>
    <n v="131"/>
    <n v="71.5"/>
    <n v="215"/>
    <n v="3.557"/>
    <n v="22"/>
    <x v="14"/>
    <x v="39"/>
    <n v="49.64500177"/>
    <n v="0.6654888103651355"/>
  </r>
  <r>
    <x v="7"/>
    <x v="40"/>
    <n v="101.3"/>
    <n v="18.7"/>
    <x v="1"/>
    <n v="26.31"/>
    <n v="5.2"/>
    <n v="230"/>
    <n v="115.7"/>
    <n v="71.7"/>
    <n v="193.5"/>
    <n v="4.394"/>
    <n v="25"/>
    <x v="13"/>
    <x v="40"/>
    <n v="92.85412522"/>
    <n v="0.7107563664006081"/>
  </r>
  <r>
    <x v="7"/>
    <x v="41"/>
    <n v="181.7"/>
    <n v="12"/>
    <x v="1"/>
    <n v="19.57"/>
    <n v="2.4"/>
    <n v="150"/>
    <n v="113.3"/>
    <n v="76.8"/>
    <n v="186.3"/>
    <n v="3.533"/>
    <n v="20"/>
    <x v="6"/>
    <x v="41"/>
    <n v="61.22700031"/>
    <n v="0.6131834440470108"/>
  </r>
  <r>
    <x v="8"/>
    <x v="42"/>
    <n v="70.2"/>
    <n v="7.4"/>
    <x v="0"/>
    <n v="12.07"/>
    <n v="2"/>
    <n v="110"/>
    <n v="98.40000000000001"/>
    <n v="67"/>
    <n v="174.7"/>
    <n v="2.468"/>
    <n v="12.7"/>
    <x v="15"/>
    <x v="42"/>
    <n v="44.08370946"/>
    <n v="0.6130903065451533"/>
  </r>
  <r>
    <x v="8"/>
    <x v="43"/>
    <n v="113.4"/>
    <n v="12.8"/>
    <x v="0"/>
    <n v="21.56"/>
    <n v="3.8"/>
    <n v="190"/>
    <n v="101.3"/>
    <n v="73.09999999999999"/>
    <n v="183.2"/>
    <n v="3.203"/>
    <n v="15.7"/>
    <x v="6"/>
    <x v="43"/>
    <n v="76.50918455999999"/>
    <n v="0.5936920222634509"/>
  </r>
  <r>
    <x v="8"/>
    <x v="44"/>
    <n v="35.1"/>
    <n v="8.800000000000001"/>
    <x v="0"/>
    <n v="17.04"/>
    <n v="2.5"/>
    <n v="170"/>
    <n v="106.5"/>
    <n v="69.09999999999999"/>
    <n v="184.6"/>
    <n v="2.769"/>
    <n v="15"/>
    <x v="1"/>
    <x v="44"/>
    <n v="67.35101072"/>
    <n v="0.5164319248826291"/>
  </r>
  <r>
    <x v="8"/>
    <x v="45"/>
    <n v="245.8"/>
    <n v="10.1"/>
    <x v="0"/>
    <n v="17.89"/>
    <n v="3"/>
    <n v="155"/>
    <n v="108.5"/>
    <n v="73"/>
    <n v="197.6"/>
    <n v="3.368"/>
    <n v="16"/>
    <x v="6"/>
    <x v="45"/>
    <n v="62.5037395"/>
    <n v="0.5645612073784236"/>
  </r>
  <r>
    <x v="8"/>
    <x v="46"/>
    <n v="175.7"/>
    <n v="18.7"/>
    <x v="0"/>
    <n v="12.32"/>
    <n v="2"/>
    <n v="107"/>
    <n v="103"/>
    <n v="66.90000000000001"/>
    <n v="174.8"/>
    <n v="2.564"/>
    <n v="13.2"/>
    <x v="15"/>
    <x v="46"/>
    <n v="43.11713201"/>
    <n v="1.517857142857143"/>
  </r>
  <r>
    <x v="8"/>
    <x v="47"/>
    <n v="63.4"/>
    <n v="14.2"/>
    <x v="0"/>
    <n v="22.2"/>
    <n v="4.6"/>
    <n v="200"/>
    <n v="114.7"/>
    <n v="78.2"/>
    <n v="212"/>
    <n v="3.908"/>
    <n v="19"/>
    <x v="4"/>
    <x v="47"/>
    <n v="80.49953671"/>
    <n v="0.6396396396396397"/>
  </r>
  <r>
    <x v="8"/>
    <x v="48"/>
    <n v="276.7"/>
    <n v="16.6"/>
    <x v="1"/>
    <n v="31.93"/>
    <n v="4"/>
    <n v="210"/>
    <n v="111.6"/>
    <n v="70.2"/>
    <n v="190.7"/>
    <n v="3.876"/>
    <n v="21"/>
    <x v="14"/>
    <x v="48"/>
    <n v="87.63549578"/>
    <n v="0.5198872533667398"/>
  </r>
  <r>
    <x v="8"/>
    <x v="49"/>
    <n v="155.8"/>
    <n v="13.2"/>
    <x v="1"/>
    <n v="21.41"/>
    <n v="3"/>
    <n v="150"/>
    <n v="120.7"/>
    <n v="76.59999999999999"/>
    <n v="200.9"/>
    <n v="3.761"/>
    <n v="26"/>
    <x v="4"/>
    <x v="49"/>
    <n v="62.09504839"/>
    <n v="0.616534329752452"/>
  </r>
  <r>
    <x v="8"/>
    <x v="50"/>
    <n v="125.3"/>
    <n v="23.6"/>
    <x v="1"/>
    <n v="36.14"/>
    <n v="4.6"/>
    <n v="240"/>
    <n v="119"/>
    <n v="78.7"/>
    <n v="204.6"/>
    <n v="4.808"/>
    <n v="26"/>
    <x v="12"/>
    <x v="50"/>
    <n v="100.0248023"/>
    <n v="0.6530160486995019"/>
  </r>
  <r>
    <x v="8"/>
    <x v="51"/>
    <n v="220.7"/>
    <n v="7.9"/>
    <x v="1"/>
    <n v="12.05"/>
    <n v="2.5"/>
    <n v="119"/>
    <n v="117.5"/>
    <n v="69.40000000000001"/>
    <n v="200.7"/>
    <n v="3.086"/>
    <n v="20"/>
    <x v="7"/>
    <x v="51"/>
    <n v="47.38953131"/>
    <n v="0.6556016597510373"/>
  </r>
  <r>
    <x v="8"/>
    <x v="52"/>
    <n v="540.6"/>
    <n v="15.1"/>
    <x v="1"/>
    <n v="26.94"/>
    <n v="4.6"/>
    <n v="220"/>
    <n v="138.5"/>
    <n v="79.09999999999999"/>
    <n v="224.5"/>
    <n v="4.241"/>
    <n v="25.1"/>
    <x v="16"/>
    <x v="52"/>
    <n v="89.40193472999999"/>
    <n v="0.5605048255382331"/>
  </r>
  <r>
    <x v="9"/>
    <x v="53"/>
    <n v="199.7"/>
    <n v="9.9"/>
    <x v="0"/>
    <n v="12.89"/>
    <n v="1.6"/>
    <n v="106"/>
    <n v="103.2"/>
    <n v="67.09999999999999"/>
    <n v="175.1"/>
    <n v="2.339"/>
    <n v="11.9"/>
    <x v="17"/>
    <x v="53"/>
    <n v="42.87909734"/>
    <n v="0.7680372381691234"/>
  </r>
  <r>
    <x v="9"/>
    <x v="54"/>
    <n v="230.9"/>
    <n v="13.2"/>
    <x v="0"/>
    <n v="15.35"/>
    <n v="2.3"/>
    <n v="135"/>
    <n v="106.9"/>
    <n v="70.3"/>
    <n v="188.8"/>
    <n v="2.932"/>
    <n v="17.1"/>
    <x v="3"/>
    <x v="54"/>
    <n v="54.26954829"/>
    <n v="0.8599348534201954"/>
  </r>
  <r>
    <x v="9"/>
    <x v="55"/>
    <n v="73.2"/>
    <n v="17.7"/>
    <x v="1"/>
    <n v="20.55"/>
    <n v="2"/>
    <n v="146"/>
    <n v="103.2"/>
    <n v="68.90000000000001"/>
    <n v="177.6"/>
    <n v="3.219"/>
    <n v="15.3"/>
    <x v="6"/>
    <x v="55"/>
    <n v="60.08796662"/>
    <n v="0.8613138686131386"/>
  </r>
  <r>
    <x v="9"/>
    <x v="56"/>
    <n v="12.9"/>
    <n v="17.5"/>
    <x v="1"/>
    <n v="26.6"/>
    <n v="3.2"/>
    <n v="205"/>
    <n v="106.4"/>
    <n v="70.40000000000001"/>
    <n v="178.2"/>
    <n v="3.857"/>
    <n v="21.1"/>
    <x v="14"/>
    <x v="56"/>
    <n v="83.6025008"/>
    <n v="0.6578947368421052"/>
  </r>
  <r>
    <x v="9"/>
    <x v="57"/>
    <n v="76"/>
    <n v="19.5"/>
    <x v="1"/>
    <n v="26"/>
    <n v="3.5"/>
    <n v="210"/>
    <n v="118.1"/>
    <n v="75.59999999999999"/>
    <n v="201.2"/>
    <n v="4.288"/>
    <n v="20"/>
    <x v="7"/>
    <x v="57"/>
    <n v="85.21769134"/>
    <n v="0.75"/>
  </r>
  <r>
    <x v="10"/>
    <x v="58"/>
    <n v="41.2"/>
    <n v="5.9"/>
    <x v="0"/>
    <n v="9.699999999999999"/>
    <n v="1.5"/>
    <n v="92"/>
    <n v="96.09999999999999"/>
    <n v="65.7"/>
    <n v="166.7"/>
    <n v="2.24"/>
    <n v="11.9"/>
    <x v="18"/>
    <x v="58"/>
    <n v="36.67228358"/>
    <n v="0.6082474226804124"/>
  </r>
  <r>
    <x v="10"/>
    <x v="59"/>
    <n v="66.7"/>
    <n v="7.8"/>
    <x v="0"/>
    <n v="11.8"/>
    <n v="2"/>
    <n v="140"/>
    <n v="100.4"/>
    <n v="66.90000000000001"/>
    <n v="174"/>
    <n v="2.626"/>
    <n v="14.5"/>
    <x v="3"/>
    <x v="59"/>
    <n v="54.59004516"/>
    <n v="0.6610169491525423"/>
  </r>
  <r>
    <x v="10"/>
    <x v="60"/>
    <n v="29.5"/>
    <n v="8.9"/>
    <x v="0"/>
    <n v="15"/>
    <n v="2.4"/>
    <n v="148"/>
    <n v="106.3"/>
    <n v="71.59999999999999"/>
    <n v="185.4"/>
    <n v="3.072"/>
    <n v="17.2"/>
    <x v="1"/>
    <x v="60"/>
    <n v="58.758249"/>
    <n v="0.5933333333333334"/>
  </r>
  <r>
    <x v="11"/>
    <x v="61"/>
    <n v="23.7"/>
    <n v="19.7"/>
    <x v="0"/>
    <n v="29.47"/>
    <n v="3"/>
    <n v="227"/>
    <n v="108.3"/>
    <n v="70.2"/>
    <n v="193.7"/>
    <n v="3.342"/>
    <n v="18.5"/>
    <x v="1"/>
    <x v="61"/>
    <n v="92.43688923000001"/>
    <n v="0.6684764166949441"/>
  </r>
  <r>
    <x v="12"/>
    <x v="62"/>
    <n v="15.5"/>
    <n v="18.7"/>
    <x v="0"/>
    <n v="42.8"/>
    <n v="3"/>
    <n v="240"/>
    <n v="114.5"/>
    <n v="71.59999999999999"/>
    <n v="191.3"/>
    <n v="3.65"/>
    <n v="18.4"/>
    <x v="4"/>
    <x v="62"/>
    <n v="102.1789848"/>
    <n v="0.4369158878504673"/>
  </r>
  <r>
    <x v="13"/>
    <x v="63"/>
    <n v="55.6"/>
    <n v="13.5"/>
    <x v="1"/>
    <n v="14.46"/>
    <n v="2.5"/>
    <n v="120"/>
    <n v="93.40000000000001"/>
    <n v="66.7"/>
    <n v="152"/>
    <n v="3.045"/>
    <n v="19"/>
    <x v="13"/>
    <x v="63"/>
    <n v="48.67289791"/>
    <n v="0.933609958506224"/>
  </r>
  <r>
    <x v="13"/>
    <x v="64"/>
    <n v="80.59999999999999"/>
    <n v="13.8"/>
    <x v="1"/>
    <n v="21.62"/>
    <n v="4"/>
    <n v="190"/>
    <n v="101.4"/>
    <n v="69.40000000000001"/>
    <n v="167.5"/>
    <n v="3.194"/>
    <n v="20"/>
    <x v="19"/>
    <x v="64"/>
    <n v="76.58443962"/>
    <n v="0.6382978723404256"/>
  </r>
  <r>
    <x v="13"/>
    <x v="65"/>
    <n v="157"/>
    <n v="18.8"/>
    <x v="1"/>
    <n v="26.9"/>
    <n v="4"/>
    <n v="195"/>
    <n v="105.9"/>
    <n v="72.3"/>
    <n v="181.5"/>
    <n v="3.88"/>
    <n v="20.5"/>
    <x v="14"/>
    <x v="65"/>
    <n v="80.38777912"/>
    <n v="0.6988847583643123"/>
  </r>
  <r>
    <x v="14"/>
    <x v="66"/>
    <n v="24.1"/>
    <n v="27"/>
    <x v="0"/>
    <n v="31.51"/>
    <n v="3"/>
    <n v="210"/>
    <n v="105.1"/>
    <n v="70.5"/>
    <n v="190.2"/>
    <n v="3.373"/>
    <n v="18.5"/>
    <x v="7"/>
    <x v="66"/>
    <n v="87.21100104"/>
    <n v="0.8568708346556648"/>
  </r>
  <r>
    <x v="14"/>
    <x v="67"/>
    <n v="12.7"/>
    <n v="32.1"/>
    <x v="0"/>
    <n v="37.81"/>
    <n v="3"/>
    <n v="225"/>
    <n v="110.2"/>
    <n v="70.90000000000001"/>
    <n v="189.2"/>
    <n v="3.638"/>
    <n v="19.8"/>
    <x v="7"/>
    <x v="67"/>
    <n v="94.9466984"/>
    <n v="0.848981750859561"/>
  </r>
  <r>
    <x v="14"/>
    <x v="68"/>
    <n v="3.3"/>
    <n v="18.7"/>
    <x v="0"/>
    <n v="46.31"/>
    <n v="4"/>
    <n v="300"/>
    <n v="110.2"/>
    <n v="70.90000000000001"/>
    <n v="189.2"/>
    <n v="3.693"/>
    <n v="19.8"/>
    <x v="4"/>
    <x v="68"/>
    <n v="125.0133574"/>
    <n v="0.4038004750593824"/>
  </r>
  <r>
    <x v="14"/>
    <x v="69"/>
    <n v="6.4"/>
    <n v="40.4"/>
    <x v="0"/>
    <n v="54.01"/>
    <n v="4"/>
    <n v="290"/>
    <n v="112.2"/>
    <n v="72"/>
    <n v="196.7"/>
    <n v="3.89"/>
    <n v="22.5"/>
    <x v="2"/>
    <x v="69"/>
    <n v="124.4467163"/>
    <n v="0.7480096278466951"/>
  </r>
  <r>
    <x v="14"/>
    <x v="70"/>
    <n v="9.1"/>
    <n v="18.7"/>
    <x v="1"/>
    <n v="60.11"/>
    <n v="4.7"/>
    <n v="230"/>
    <n v="112.2"/>
    <n v="76.40000000000001"/>
    <n v="192.5"/>
    <n v="5.401"/>
    <n v="25.4"/>
    <x v="8"/>
    <x v="70"/>
    <n v="105.760458"/>
    <n v="0.311096323407087"/>
  </r>
  <r>
    <x v="14"/>
    <x v="71"/>
    <n v="51.2"/>
    <n v="18.7"/>
    <x v="1"/>
    <n v="34.61"/>
    <n v="3"/>
    <n v="220"/>
    <n v="103"/>
    <n v="71.5"/>
    <n v="180.1"/>
    <n v="3.9"/>
    <n v="17.2"/>
    <x v="4"/>
    <x v="71"/>
    <n v="91.94380156"/>
    <n v="0.540306269864201"/>
  </r>
  <r>
    <x v="15"/>
    <x v="72"/>
    <n v="13.8"/>
    <n v="20.5"/>
    <x v="0"/>
    <n v="39.08"/>
    <n v="4.6"/>
    <n v="275"/>
    <n v="109"/>
    <n v="73.59999999999999"/>
    <n v="208.5"/>
    <n v="3.868"/>
    <n v="20"/>
    <x v="2"/>
    <x v="72"/>
    <n v="113.5402069"/>
    <n v="0.5245649948822928"/>
  </r>
  <r>
    <x v="15"/>
    <x v="73"/>
    <n v="48.9"/>
    <n v="21.7"/>
    <x v="0"/>
    <n v="43.33"/>
    <n v="4.6"/>
    <n v="215"/>
    <n v="117.7"/>
    <n v="78.2"/>
    <n v="215.3"/>
    <n v="4.121"/>
    <n v="19"/>
    <x v="4"/>
    <x v="73"/>
    <n v="93.9579169"/>
    <n v="0.5008077544426495"/>
  </r>
  <r>
    <x v="15"/>
    <x v="74"/>
    <n v="22.9"/>
    <n v="18.7"/>
    <x v="1"/>
    <n v="42.66"/>
    <n v="5.4"/>
    <n v="300"/>
    <n v="119"/>
    <n v="79.90000000000001"/>
    <n v="204.8"/>
    <n v="5.393"/>
    <n v="30"/>
    <x v="8"/>
    <x v="74"/>
    <n v="123.9720467"/>
    <n v="0.4383497421472105"/>
  </r>
  <r>
    <x v="16"/>
    <x v="75"/>
    <n v="26.2"/>
    <n v="8.300000000000001"/>
    <x v="0"/>
    <n v="13.99"/>
    <n v="1.8"/>
    <n v="113"/>
    <n v="98.40000000000001"/>
    <n v="66.5"/>
    <n v="173.6"/>
    <n v="2.25"/>
    <n v="13.2"/>
    <x v="15"/>
    <x v="75"/>
    <n v="45.83218056"/>
    <n v="0.5932809149392424"/>
  </r>
  <r>
    <x v="16"/>
    <x v="76"/>
    <n v="42.5"/>
    <n v="10.4"/>
    <x v="0"/>
    <n v="19.05"/>
    <n v="2.4"/>
    <n v="154"/>
    <n v="100.8"/>
    <n v="68.90000000000001"/>
    <n v="175.4"/>
    <n v="2.91"/>
    <n v="15.9"/>
    <x v="6"/>
    <x v="76"/>
    <n v="62.44196235"/>
    <n v="0.5459317585301837"/>
  </r>
  <r>
    <x v="16"/>
    <x v="77"/>
    <n v="55.6"/>
    <n v="10.6"/>
    <x v="0"/>
    <n v="17.36"/>
    <n v="2.4"/>
    <n v="145"/>
    <n v="103.7"/>
    <n v="68.5"/>
    <n v="187.8"/>
    <n v="2.945"/>
    <n v="16.3"/>
    <x v="1"/>
    <x v="7"/>
    <n v="58.60677292"/>
    <n v="0.6105990783410138"/>
  </r>
  <r>
    <x v="16"/>
    <x v="78"/>
    <n v="5.7"/>
    <n v="16.6"/>
    <x v="0"/>
    <n v="25"/>
    <n v="3.5"/>
    <n v="210"/>
    <n v="107.1"/>
    <n v="70.3"/>
    <n v="194.1"/>
    <n v="3.443"/>
    <n v="19"/>
    <x v="2"/>
    <x v="77"/>
    <n v="84.83077858"/>
    <n v="0.664"/>
  </r>
  <r>
    <x v="16"/>
    <x v="79"/>
    <n v="0.1"/>
    <n v="20.9"/>
    <x v="0"/>
    <n v="25.45"/>
    <n v="3"/>
    <n v="161"/>
    <n v="97.2"/>
    <n v="72.40000000000001"/>
    <n v="180.3"/>
    <n v="3.131"/>
    <n v="19.8"/>
    <x v="4"/>
    <x v="78"/>
    <n v="67.54415494"/>
    <n v="0.8212180746561886"/>
  </r>
  <r>
    <x v="16"/>
    <x v="80"/>
    <n v="11.3"/>
    <n v="19.1"/>
    <x v="1"/>
    <n v="31.81"/>
    <n v="3.5"/>
    <n v="200"/>
    <n v="107.3"/>
    <n v="69.90000000000001"/>
    <n v="186.6"/>
    <n v="4.52"/>
    <n v="24.3"/>
    <x v="16"/>
    <x v="79"/>
    <n v="83.92081503999999"/>
    <n v="0.6004401131719586"/>
  </r>
  <r>
    <x v="16"/>
    <x v="81"/>
    <n v="39.3"/>
    <n v="13.9"/>
    <x v="1"/>
    <n v="22.53"/>
    <n v="3"/>
    <n v="173"/>
    <n v="107.3"/>
    <n v="66.7"/>
    <n v="178.3"/>
    <n v="3.51"/>
    <n v="19.5"/>
    <x v="19"/>
    <x v="80"/>
    <n v="70.66094179"/>
    <n v="0.6169551708832668"/>
  </r>
  <r>
    <x v="17"/>
    <x v="82"/>
    <n v="14.4"/>
    <n v="8.800000000000001"/>
    <x v="0"/>
    <n v="16.24"/>
    <n v="2"/>
    <n v="125"/>
    <n v="106.5"/>
    <n v="69.09999999999999"/>
    <n v="184.8"/>
    <n v="2.769"/>
    <n v="15"/>
    <x v="0"/>
    <x v="81"/>
    <n v="50.99774761"/>
    <n v="0.5418719211822661"/>
  </r>
  <r>
    <x v="17"/>
    <x v="83"/>
    <n v="26.5"/>
    <n v="13.9"/>
    <x v="0"/>
    <n v="16.54"/>
    <n v="2"/>
    <n v="125"/>
    <n v="106.4"/>
    <n v="69.59999999999999"/>
    <n v="185"/>
    <n v="2.892"/>
    <n v="16"/>
    <x v="15"/>
    <x v="13"/>
    <n v="51.11347426"/>
    <n v="0.8403869407496978"/>
  </r>
  <r>
    <x v="17"/>
    <x v="84"/>
    <n v="68"/>
    <n v="11"/>
    <x v="0"/>
    <n v="19.04"/>
    <n v="3"/>
    <n v="153"/>
    <n v="108.5"/>
    <n v="73"/>
    <n v="199.7"/>
    <n v="3.379"/>
    <n v="16"/>
    <x v="6"/>
    <x v="82"/>
    <n v="62.23996663"/>
    <n v="0.5777310924369748"/>
  </r>
  <r>
    <x v="17"/>
    <x v="85"/>
    <n v="81.2"/>
    <n v="14.9"/>
    <x v="0"/>
    <n v="22.61"/>
    <n v="4.6"/>
    <n v="200"/>
    <n v="114.7"/>
    <n v="78.2"/>
    <n v="212"/>
    <n v="3.958"/>
    <n v="19"/>
    <x v="4"/>
    <x v="83"/>
    <n v="80.65769646"/>
    <n v="0.659000442282176"/>
  </r>
  <r>
    <x v="17"/>
    <x v="86"/>
    <n v="27.6"/>
    <n v="20.4"/>
    <x v="1"/>
    <n v="27.56"/>
    <n v="4"/>
    <n v="210"/>
    <n v="111.6"/>
    <n v="70.2"/>
    <n v="190.1"/>
    <n v="3.876"/>
    <n v="21"/>
    <x v="16"/>
    <x v="84"/>
    <n v="85.94974424999999"/>
    <n v="0.7402031930333817"/>
  </r>
  <r>
    <x v="17"/>
    <x v="87"/>
    <n v="20.4"/>
    <n v="14.8"/>
    <x v="1"/>
    <n v="22.51"/>
    <n v="3.3"/>
    <n v="170"/>
    <n v="112.2"/>
    <n v="74.90000000000001"/>
    <n v="194.7"/>
    <n v="3.944"/>
    <n v="20"/>
    <x v="4"/>
    <x v="85"/>
    <n v="69.67146099999999"/>
    <n v="0.6574855619724567"/>
  </r>
  <r>
    <x v="18"/>
    <x v="88"/>
    <n v="18.4"/>
    <n v="26.1"/>
    <x v="0"/>
    <n v="31.75"/>
    <n v="2.3"/>
    <n v="185"/>
    <n v="105.9"/>
    <n v="67.7"/>
    <n v="177.4"/>
    <n v="3.25"/>
    <n v="16.4"/>
    <x v="5"/>
    <x v="86"/>
    <n v="78.28073087999999"/>
    <n v="0.8220472440944883"/>
  </r>
  <r>
    <x v="18"/>
    <x v="89"/>
    <n v="27.6"/>
    <n v="41.5"/>
    <x v="0"/>
    <n v="49.9"/>
    <n v="3.2"/>
    <n v="221"/>
    <n v="111.5"/>
    <n v="70.8"/>
    <n v="189.4"/>
    <n v="3.823"/>
    <n v="21.1"/>
    <x v="1"/>
    <x v="87"/>
    <n v="98.24973749999999"/>
    <n v="0.8316633266533067"/>
  </r>
  <r>
    <x v="18"/>
    <x v="90"/>
    <n v="16.8"/>
    <n v="50.4"/>
    <x v="0"/>
    <n v="69.7"/>
    <n v="4.3"/>
    <n v="275"/>
    <n v="121.5"/>
    <n v="73.09999999999999"/>
    <n v="203.1"/>
    <n v="4.133"/>
    <n v="23.2"/>
    <x v="4"/>
    <x v="88"/>
    <n v="125.2738757"/>
    <n v="0.7230989956958392"/>
  </r>
  <r>
    <x v="18"/>
    <x v="91"/>
    <n v="3.3"/>
    <n v="58.6"/>
    <x v="0"/>
    <n v="82.59999999999999"/>
    <n v="5"/>
    <n v="302"/>
    <n v="99"/>
    <n v="71.3"/>
    <n v="177.1"/>
    <n v="4.125"/>
    <n v="21.1"/>
    <x v="19"/>
    <x v="89"/>
    <n v="139.9822936"/>
    <n v="0.7094430992736078"/>
  </r>
  <r>
    <x v="18"/>
    <x v="92"/>
    <n v="8"/>
    <n v="18.7"/>
    <x v="0"/>
    <n v="38.9"/>
    <n v="2.3"/>
    <n v="190"/>
    <n v="94.5"/>
    <n v="67.5"/>
    <n v="157.9"/>
    <n v="3.055"/>
    <n v="15.9"/>
    <x v="5"/>
    <x v="90"/>
    <n v="82.80736193"/>
    <n v="0.480719794344473"/>
  </r>
  <r>
    <x v="18"/>
    <x v="93"/>
    <n v="1.5"/>
    <n v="18.7"/>
    <x v="0"/>
    <n v="41"/>
    <n v="2.3"/>
    <n v="185"/>
    <n v="94.5"/>
    <n v="67.5"/>
    <n v="157.3"/>
    <n v="2.975"/>
    <n v="14"/>
    <x v="3"/>
    <x v="91"/>
    <n v="81.84896924"/>
    <n v="0.4560975609756097"/>
  </r>
  <r>
    <x v="18"/>
    <x v="94"/>
    <n v="11.6"/>
    <n v="18.7"/>
    <x v="0"/>
    <n v="41.6"/>
    <n v="3.2"/>
    <n v="215"/>
    <n v="105.9"/>
    <n v="67.8"/>
    <n v="180.3"/>
    <n v="3.213"/>
    <n v="16.4"/>
    <x v="5"/>
    <x v="92"/>
    <n v="92.92579177"/>
    <n v="0.4495192307692307"/>
  </r>
  <r>
    <x v="18"/>
    <x v="95"/>
    <n v="1"/>
    <n v="18.7"/>
    <x v="0"/>
    <n v="85.5"/>
    <n v="5"/>
    <n v="302"/>
    <n v="113.6"/>
    <n v="73.09999999999999"/>
    <n v="196.6"/>
    <n v="4.115"/>
    <n v="23.2"/>
    <x v="19"/>
    <x v="93"/>
    <n v="141.1009845"/>
    <n v="0.2187134502923977"/>
  </r>
  <r>
    <x v="18"/>
    <x v="96"/>
    <n v="29"/>
    <n v="18.7"/>
    <x v="1"/>
    <n v="35.3"/>
    <n v="3.2"/>
    <n v="215"/>
    <n v="111"/>
    <n v="72.2"/>
    <n v="180.6"/>
    <n v="4.387"/>
    <n v="19"/>
    <x v="19"/>
    <x v="94"/>
    <n v="90.49553213"/>
    <n v="0.5297450424929179"/>
  </r>
  <r>
    <x v="19"/>
    <x v="97"/>
    <n v="42.6"/>
    <n v="8.5"/>
    <x v="0"/>
    <n v="13.5"/>
    <n v="1.8"/>
    <n v="126"/>
    <n v="99.8"/>
    <n v="67.3"/>
    <n v="177.5"/>
    <n v="2.593"/>
    <n v="13.2"/>
    <x v="15"/>
    <x v="95"/>
    <n v="50.24197791"/>
    <n v="0.6296296296296297"/>
  </r>
  <r>
    <x v="19"/>
    <x v="98"/>
    <n v="88.09999999999999"/>
    <n v="11.3"/>
    <x v="0"/>
    <n v="20.39"/>
    <n v="2.4"/>
    <n v="155"/>
    <n v="103.1"/>
    <n v="69.09999999999999"/>
    <n v="183.5"/>
    <n v="3.012"/>
    <n v="15.9"/>
    <x v="1"/>
    <x v="96"/>
    <n v="63.31372783"/>
    <n v="0.5541932319764591"/>
  </r>
  <r>
    <x v="19"/>
    <x v="99"/>
    <n v="79.90000000000001"/>
    <n v="15.1"/>
    <x v="0"/>
    <n v="26.25"/>
    <n v="3"/>
    <n v="222"/>
    <n v="108.3"/>
    <n v="70.3"/>
    <n v="190.5"/>
    <n v="3.294"/>
    <n v="18.5"/>
    <x v="1"/>
    <x v="97"/>
    <n v="89.42782031"/>
    <n v="0.5752380952380952"/>
  </r>
  <r>
    <x v="19"/>
    <x v="100"/>
    <n v="27.3"/>
    <n v="15.4"/>
    <x v="1"/>
    <n v="26.4"/>
    <n v="3.3"/>
    <n v="170"/>
    <n v="112.2"/>
    <n v="74.90000000000001"/>
    <n v="194.8"/>
    <n v="3.991"/>
    <n v="20"/>
    <x v="4"/>
    <x v="98"/>
    <n v="71.17166413"/>
    <n v="0.5833333333333334"/>
  </r>
  <r>
    <x v="19"/>
    <x v="101"/>
    <n v="42.6"/>
    <n v="17.8"/>
    <x v="1"/>
    <n v="29.3"/>
    <n v="3.3"/>
    <n v="170"/>
    <n v="106.3"/>
    <n v="71.7"/>
    <n v="182.6"/>
    <n v="3.947"/>
    <n v="21"/>
    <x v="14"/>
    <x v="99"/>
    <n v="72.29035508"/>
    <n v="0.6075085324232082"/>
  </r>
  <r>
    <x v="19"/>
    <x v="102"/>
    <n v="54.2"/>
    <n v="18.7"/>
    <x v="1"/>
    <n v="22.8"/>
    <n v="3.3"/>
    <n v="170"/>
    <n v="104.3"/>
    <n v="70.40000000000001"/>
    <n v="178"/>
    <n v="3.821"/>
    <n v="19.4"/>
    <x v="16"/>
    <x v="100"/>
    <n v="69.78294434"/>
    <n v="0.8201754385964912"/>
  </r>
  <r>
    <x v="19"/>
    <x v="103"/>
    <n v="65"/>
    <n v="18.7"/>
    <x v="1"/>
    <n v="17.89"/>
    <n v="3.3"/>
    <n v="170"/>
    <n v="116.1"/>
    <n v="66.5"/>
    <n v="196.1"/>
    <n v="3.217"/>
    <n v="19.4"/>
    <x v="16"/>
    <x v="101"/>
    <n v="67.88927059"/>
    <n v="1.045276690888765"/>
  </r>
  <r>
    <x v="20"/>
    <x v="104"/>
    <n v="1.1"/>
    <n v="11.2"/>
    <x v="0"/>
    <n v="18.15"/>
    <n v="3.1"/>
    <n v="150"/>
    <n v="107"/>
    <n v="69.40000000000001"/>
    <n v="192"/>
    <n v="3.102"/>
    <n v="15.2"/>
    <x v="1"/>
    <x v="102"/>
    <n v="60.86161155"/>
    <n v="0.6170798898071626"/>
  </r>
  <r>
    <x v="20"/>
    <x v="105"/>
    <n v="80.3"/>
    <n v="18.7"/>
    <x v="0"/>
    <n v="18.27"/>
    <n v="2.4"/>
    <n v="150"/>
    <n v="107"/>
    <n v="70.09999999999999"/>
    <n v="186.7"/>
    <n v="2.958"/>
    <n v="15"/>
    <x v="3"/>
    <x v="85"/>
    <n v="60.72744693"/>
    <n v="1.023535851122058"/>
  </r>
  <r>
    <x v="20"/>
    <x v="106"/>
    <n v="14.7"/>
    <n v="19.9"/>
    <x v="0"/>
    <n v="36.23"/>
    <n v="4"/>
    <n v="250"/>
    <n v="113.8"/>
    <n v="74.40000000000001"/>
    <n v="205.4"/>
    <n v="3.967"/>
    <n v="18.5"/>
    <x v="2"/>
    <x v="103"/>
    <n v="103.4416926"/>
    <n v="0.5492685619652222"/>
  </r>
  <r>
    <x v="20"/>
    <x v="107"/>
    <n v="20"/>
    <n v="19.9"/>
    <x v="1"/>
    <n v="31.6"/>
    <n v="4.3"/>
    <n v="190"/>
    <n v="107"/>
    <n v="67.8"/>
    <n v="181.2"/>
    <n v="4.068"/>
    <n v="17.5"/>
    <x v="14"/>
    <x v="104"/>
    <n v="80.51167259"/>
    <n v="0.6297468354430379"/>
  </r>
  <r>
    <x v="20"/>
    <x v="108"/>
    <n v="24.4"/>
    <n v="15.2"/>
    <x v="1"/>
    <n v="25.35"/>
    <n v="3.4"/>
    <n v="185"/>
    <n v="120"/>
    <n v="72.2"/>
    <n v="201.4"/>
    <n v="3.948"/>
    <n v="25"/>
    <x v="2"/>
    <x v="105"/>
    <n v="76.09657042000001"/>
    <n v="0.5996055226824457"/>
  </r>
  <r>
    <x v="21"/>
    <x v="32"/>
    <n v="32.7"/>
    <n v="7.8"/>
    <x v="0"/>
    <n v="12.64"/>
    <n v="2"/>
    <n v="132"/>
    <n v="105"/>
    <n v="74.40000000000001"/>
    <n v="174.4"/>
    <n v="2.559"/>
    <n v="12.5"/>
    <x v="11"/>
    <x v="106"/>
    <n v="52.08489875"/>
    <n v="0.6170886075949367"/>
  </r>
  <r>
    <x v="21"/>
    <x v="109"/>
    <n v="5.2"/>
    <n v="9.800000000000001"/>
    <x v="0"/>
    <n v="16.08"/>
    <n v="2"/>
    <n v="132"/>
    <n v="108"/>
    <n v="71"/>
    <n v="186.3"/>
    <n v="2.942"/>
    <n v="16"/>
    <x v="3"/>
    <x v="107"/>
    <n v="53.41189767"/>
    <n v="0.609452736318408"/>
  </r>
  <r>
    <x v="21"/>
    <x v="110"/>
    <n v="24.2"/>
    <n v="12"/>
    <x v="1"/>
    <n v="18.85"/>
    <n v="2.4"/>
    <n v="150"/>
    <n v="113.3"/>
    <n v="76.8"/>
    <n v="186.3"/>
    <n v="3.528"/>
    <n v="20"/>
    <x v="6"/>
    <x v="86"/>
    <n v="60.95118512"/>
    <n v="0.636604774535809"/>
  </r>
  <r>
    <x v="21"/>
    <x v="111"/>
    <n v="1.9"/>
    <n v="18.7"/>
    <x v="0"/>
    <n v="43"/>
    <n v="3.5"/>
    <n v="253"/>
    <n v="113.3"/>
    <n v="76.3"/>
    <n v="165.4"/>
    <n v="2.85"/>
    <n v="12"/>
    <x v="4"/>
    <x v="40"/>
    <n v="106.9844563"/>
    <n v="0.4348837209302325"/>
  </r>
  <r>
    <x v="22"/>
    <x v="112"/>
    <n v="51.6"/>
    <n v="13.8"/>
    <x v="0"/>
    <n v="21.61"/>
    <n v="2.4"/>
    <n v="150"/>
    <n v="104.1"/>
    <n v="68.40000000000001"/>
    <n v="181.9"/>
    <n v="2.906"/>
    <n v="15"/>
    <x v="3"/>
    <x v="108"/>
    <n v="62.0158703"/>
    <n v="0.6385932438685794"/>
  </r>
  <r>
    <x v="22"/>
    <x v="113"/>
    <n v="131.1"/>
    <n v="10.3"/>
    <x v="0"/>
    <n v="19.72"/>
    <n v="3.4"/>
    <n v="175"/>
    <n v="107"/>
    <n v="70.40000000000001"/>
    <n v="186.3"/>
    <n v="3.091"/>
    <n v="15.2"/>
    <x v="1"/>
    <x v="109"/>
    <n v="70.38973726"/>
    <n v="0.5223123732251522"/>
  </r>
  <r>
    <x v="22"/>
    <x v="114"/>
    <n v="19.9"/>
    <n v="17.8"/>
    <x v="0"/>
    <n v="25.31"/>
    <n v="3.8"/>
    <n v="200"/>
    <n v="101.1"/>
    <n v="74.5"/>
    <n v="193.4"/>
    <n v="3.492"/>
    <n v="16.8"/>
    <x v="1"/>
    <x v="110"/>
    <n v="81.49272616"/>
    <n v="0.7032793362307389"/>
  </r>
  <r>
    <x v="22"/>
    <x v="115"/>
    <n v="92.40000000000001"/>
    <n v="14"/>
    <x v="0"/>
    <n v="21.67"/>
    <n v="3.8"/>
    <n v="195"/>
    <n v="110.5"/>
    <n v="72.7"/>
    <n v="196.5"/>
    <n v="3.396"/>
    <n v="18"/>
    <x v="1"/>
    <x v="111"/>
    <n v="78.31816813"/>
    <n v="0.6460544531610521"/>
  </r>
  <r>
    <x v="22"/>
    <x v="116"/>
    <n v="35.9"/>
    <n v="13.2"/>
    <x v="0"/>
    <n v="23.76"/>
    <n v="3.8"/>
    <n v="205"/>
    <n v="112.2"/>
    <n v="72.59999999999999"/>
    <n v="202.5"/>
    <n v="3.59"/>
    <n v="17.5"/>
    <x v="6"/>
    <x v="112"/>
    <n v="82.66135559999999"/>
    <n v="0.5555555555555555"/>
  </r>
  <r>
    <x v="22"/>
    <x v="117"/>
    <n v="39.6"/>
    <n v="18.7"/>
    <x v="1"/>
    <n v="25.64"/>
    <n v="3.4"/>
    <n v="185"/>
    <n v="120"/>
    <n v="72.7"/>
    <n v="201.3"/>
    <n v="3.942"/>
    <n v="25"/>
    <x v="7"/>
    <x v="46"/>
    <n v="76.20843952"/>
    <n v="0.7293291731669266"/>
  </r>
  <r>
    <x v="23"/>
    <x v="118"/>
    <n v="9"/>
    <n v="41.3"/>
    <x v="0"/>
    <n v="41.43"/>
    <n v="2.7"/>
    <n v="217"/>
    <n v="95.2"/>
    <n v="70.09999999999999"/>
    <n v="171"/>
    <n v="2.778"/>
    <n v="17"/>
    <x v="2"/>
    <x v="113"/>
    <n v="93.4373307"/>
    <n v="0.9968621771663045"/>
  </r>
  <r>
    <x v="23"/>
    <x v="119"/>
    <n v="1.3"/>
    <n v="60.6"/>
    <x v="0"/>
    <n v="71.02"/>
    <n v="3.4"/>
    <n v="300"/>
    <n v="92.59999999999999"/>
    <n v="69.5"/>
    <n v="174.5"/>
    <n v="3.032"/>
    <n v="17"/>
    <x v="4"/>
    <x v="114"/>
    <n v="134.3909754"/>
    <n v="0.8532807659814138"/>
  </r>
  <r>
    <x v="23"/>
    <x v="120"/>
    <n v="1.9"/>
    <n v="67.59999999999999"/>
    <x v="0"/>
    <n v="74.97"/>
    <n v="3.4"/>
    <n v="300"/>
    <n v="92.59999999999999"/>
    <n v="69.5"/>
    <n v="174.5"/>
    <n v="3.075"/>
    <n v="17"/>
    <x v="7"/>
    <x v="115"/>
    <n v="135.9147096"/>
    <n v="0.9016940109377084"/>
  </r>
  <r>
    <x v="24"/>
    <x v="121"/>
    <n v="9.199999999999999"/>
    <n v="18.7"/>
    <x v="0"/>
    <n v="33.12"/>
    <n v="2.3"/>
    <n v="170"/>
    <n v="106.4"/>
    <n v="70.59999999999999"/>
    <n v="189.2"/>
    <n v="3.28"/>
    <n v="18.5"/>
    <x v="7"/>
    <x v="116"/>
    <n v="73.50377819000001"/>
    <n v="0.5646135265700484"/>
  </r>
  <r>
    <x v="24"/>
    <x v="122"/>
    <n v="12.1"/>
    <n v="18.7"/>
    <x v="0"/>
    <n v="26.1"/>
    <n v="2"/>
    <n v="185"/>
    <n v="102.6"/>
    <n v="67.40000000000001"/>
    <n v="182.2"/>
    <n v="2.99"/>
    <n v="16.9"/>
    <x v="7"/>
    <x v="117"/>
    <n v="76.02304771"/>
    <n v="0.7164750957854406"/>
  </r>
  <r>
    <x v="25"/>
    <x v="123"/>
    <n v="80.59999999999999"/>
    <n v="9.199999999999999"/>
    <x v="0"/>
    <n v="10.69"/>
    <n v="1.9"/>
    <n v="100"/>
    <n v="102.4"/>
    <n v="66.40000000000001"/>
    <n v="176.9"/>
    <n v="2.332"/>
    <n v="12.1"/>
    <x v="9"/>
    <x v="52"/>
    <n v="39.98642475"/>
    <n v="0.8606173994387277"/>
  </r>
  <r>
    <x v="25"/>
    <x v="124"/>
    <n v="24.5"/>
    <n v="10.6"/>
    <x v="0"/>
    <n v="12.54"/>
    <n v="1.9"/>
    <n v="100"/>
    <n v="102.4"/>
    <n v="66.40000000000001"/>
    <n v="180"/>
    <n v="2.367"/>
    <n v="12.1"/>
    <x v="9"/>
    <x v="118"/>
    <n v="40.70007242"/>
    <n v="0.8452950558213717"/>
  </r>
  <r>
    <x v="25"/>
    <x v="125"/>
    <n v="5.2"/>
    <n v="10.8"/>
    <x v="0"/>
    <n v="14.29"/>
    <n v="1.9"/>
    <n v="124"/>
    <n v="102.4"/>
    <n v="66.40000000000001"/>
    <n v="176.9"/>
    <n v="2.452"/>
    <n v="12.1"/>
    <x v="18"/>
    <x v="119"/>
    <n v="49.86577367"/>
    <n v="0.7557732680195942"/>
  </r>
  <r>
    <x v="25"/>
    <x v="126"/>
    <n v="8.5"/>
    <n v="18.7"/>
    <x v="0"/>
    <n v="18.84"/>
    <n v="2.2"/>
    <n v="137"/>
    <n v="106.5"/>
    <n v="69"/>
    <n v="190.4"/>
    <n v="3.075"/>
    <n v="13.1"/>
    <x v="3"/>
    <x v="120"/>
    <n v="56.29524304"/>
    <n v="0.9925690021231423"/>
  </r>
  <r>
    <x v="25"/>
    <x v="127"/>
    <n v="50"/>
    <n v="18.7"/>
    <x v="0"/>
    <n v="15.01"/>
    <n v="2.2"/>
    <n v="137"/>
    <n v="106.5"/>
    <n v="69"/>
    <n v="190.4"/>
    <n v="2.91"/>
    <n v="13.1"/>
    <x v="0"/>
    <x v="121"/>
    <n v="54.81972825"/>
    <n v="1.245836109260493"/>
  </r>
  <r>
    <x v="26"/>
    <x v="128"/>
    <n v="47.1"/>
    <n v="18.7"/>
    <x v="0"/>
    <n v="22.7"/>
    <n v="2.5"/>
    <n v="165"/>
    <n v="103.5"/>
    <n v="67.5"/>
    <n v="185.8"/>
    <n v="3.415"/>
    <n v="16.9"/>
    <x v="1"/>
    <x v="122"/>
    <n v="67.76590760000001"/>
    <n v="0.8237885462555066"/>
  </r>
  <r>
    <x v="26"/>
    <x v="129"/>
    <n v="33"/>
    <n v="18.7"/>
    <x v="1"/>
    <n v="20.1"/>
    <n v="2.5"/>
    <n v="165"/>
    <n v="99.40000000000001"/>
    <n v="68.3"/>
    <n v="175.2"/>
    <n v="3.125"/>
    <n v="15.9"/>
    <x v="6"/>
    <x v="58"/>
    <n v="66.76294331"/>
    <n v="0.9303482587064675"/>
  </r>
  <r>
    <x v="27"/>
    <x v="130"/>
    <n v="142.5"/>
    <n v="10"/>
    <x v="0"/>
    <n v="13.11"/>
    <n v="1.8"/>
    <n v="120"/>
    <n v="97"/>
    <n v="66.7"/>
    <n v="174"/>
    <n v="2.42"/>
    <n v="13.2"/>
    <x v="9"/>
    <x v="93"/>
    <n v="47.96897242"/>
    <n v="0.7627765064836003"/>
  </r>
  <r>
    <x v="27"/>
    <x v="131"/>
    <n v="248"/>
    <n v="13.2"/>
    <x v="0"/>
    <n v="17.52"/>
    <n v="2.2"/>
    <n v="133"/>
    <n v="105.2"/>
    <n v="70.09999999999999"/>
    <n v="188.5"/>
    <n v="2.998"/>
    <n v="18.5"/>
    <x v="3"/>
    <x v="94"/>
    <n v="54.37241965"/>
    <n v="0.7534246575342466"/>
  </r>
  <r>
    <x v="27"/>
    <x v="132"/>
    <n v="63.8"/>
    <n v="18.1"/>
    <x v="0"/>
    <n v="25.55"/>
    <n v="3"/>
    <n v="210"/>
    <n v="107.1"/>
    <n v="71.7"/>
    <n v="191.9"/>
    <n v="3.417"/>
    <n v="18.5"/>
    <x v="5"/>
    <x v="95"/>
    <n v="84.91189826"/>
    <n v="0.7084148727984345"/>
  </r>
  <r>
    <x v="27"/>
    <x v="133"/>
    <n v="33.3"/>
    <n v="15.4"/>
    <x v="0"/>
    <n v="16.88"/>
    <n v="1.8"/>
    <n v="140"/>
    <n v="102.4"/>
    <n v="68.3"/>
    <n v="170.5"/>
    <n v="2.425"/>
    <n v="14.5"/>
    <x v="18"/>
    <x v="123"/>
    <n v="56.49603034"/>
    <n v="0.9123222748815166"/>
  </r>
  <r>
    <x v="27"/>
    <x v="134"/>
    <n v="84.09999999999999"/>
    <n v="9.6"/>
    <x v="1"/>
    <n v="11.53"/>
    <n v="2.4"/>
    <n v="142"/>
    <n v="103.3"/>
    <n v="66.5"/>
    <n v="178.7"/>
    <n v="2.58"/>
    <n v="15.1"/>
    <x v="7"/>
    <x v="124"/>
    <n v="55.29711658"/>
    <n v="0.8326105810928014"/>
  </r>
  <r>
    <x v="27"/>
    <x v="135"/>
    <n v="65.09999999999999"/>
    <n v="18.7"/>
    <x v="1"/>
    <n v="22.37"/>
    <n v="3"/>
    <n v="194"/>
    <n v="114.2"/>
    <n v="73.40000000000001"/>
    <n v="193.5"/>
    <n v="3.759"/>
    <n v="20.9"/>
    <x v="2"/>
    <x v="64"/>
    <n v="78.02721947000001"/>
    <n v="0.8359409924005363"/>
  </r>
  <r>
    <x v="27"/>
    <x v="136"/>
    <n v="25.1"/>
    <n v="13.3"/>
    <x v="1"/>
    <n v="16.89"/>
    <n v="2"/>
    <n v="127"/>
    <n v="94.90000000000001"/>
    <n v="66.7"/>
    <n v="163.8"/>
    <n v="2.668"/>
    <n v="15.3"/>
    <x v="3"/>
    <x v="97"/>
    <n v="51.95510887"/>
    <n v="0.7874481941977501"/>
  </r>
  <r>
    <x v="27"/>
    <x v="137"/>
    <n v="68.40000000000001"/>
    <n v="19.4"/>
    <x v="1"/>
    <n v="22.29"/>
    <n v="2.7"/>
    <n v="150"/>
    <n v="105.3"/>
    <n v="66.5"/>
    <n v="183.3"/>
    <n v="3.44"/>
    <n v="18.5"/>
    <x v="7"/>
    <x v="98"/>
    <n v="62.35557713"/>
    <n v="0.870345446388515"/>
  </r>
  <r>
    <x v="27"/>
    <x v="138"/>
    <n v="9.800000000000001"/>
    <n v="34.1"/>
    <x v="1"/>
    <n v="51.73"/>
    <n v="4.7"/>
    <n v="230"/>
    <n v="112.2"/>
    <n v="76.40000000000001"/>
    <n v="192.5"/>
    <n v="5.115"/>
    <n v="25.4"/>
    <x v="8"/>
    <x v="99"/>
    <n v="102.5289842"/>
    <n v="0.6591919582447323"/>
  </r>
  <r>
    <x v="28"/>
    <x v="139"/>
    <n v="9.800000000000001"/>
    <n v="11.4"/>
    <x v="0"/>
    <n v="14.9"/>
    <n v="2"/>
    <n v="115"/>
    <n v="98.90000000000001"/>
    <n v="68.3"/>
    <n v="163.3"/>
    <n v="2.767"/>
    <n v="14.5"/>
    <x v="5"/>
    <x v="100"/>
    <n v="46.94387676"/>
    <n v="0.7651006711409396"/>
  </r>
  <r>
    <x v="28"/>
    <x v="140"/>
    <n v="83.7"/>
    <n v="13.2"/>
    <x v="0"/>
    <n v="16.7"/>
    <n v="2"/>
    <n v="115"/>
    <n v="98.90000000000001"/>
    <n v="68.3"/>
    <n v="172.3"/>
    <n v="2.853"/>
    <n v="14.5"/>
    <x v="5"/>
    <x v="101"/>
    <n v="47.63823666"/>
    <n v="0.7904191616766467"/>
  </r>
  <r>
    <x v="28"/>
    <x v="141"/>
    <n v="51.1"/>
    <n v="16.7"/>
    <x v="0"/>
    <n v="21.2"/>
    <n v="1.8"/>
    <n v="150"/>
    <n v="106.4"/>
    <n v="68.5"/>
    <n v="184.1"/>
    <n v="3.043"/>
    <n v="16.4"/>
    <x v="3"/>
    <x v="70"/>
    <n v="61.70138136"/>
    <n v="0.7877358490566038"/>
  </r>
  <r>
    <x v="28"/>
    <x v="142"/>
    <n v="9.6"/>
    <n v="16.6"/>
    <x v="0"/>
    <n v="19.99"/>
    <n v="2"/>
    <n v="115"/>
    <n v="97.40000000000001"/>
    <n v="66.7"/>
    <n v="160.4"/>
    <n v="3.079"/>
    <n v="13.7"/>
    <x v="5"/>
    <x v="102"/>
    <n v="48.90737225"/>
    <n v="0.8304152076038021"/>
  </r>
  <r>
    <x v="28"/>
    <x v="143"/>
    <n v="5.6"/>
    <n v="13.8"/>
    <x v="0"/>
    <n v="17.5"/>
    <n v="2"/>
    <n v="115"/>
    <n v="98.90000000000001"/>
    <n v="68.3"/>
    <n v="163.3"/>
    <n v="2.762"/>
    <n v="14.6"/>
    <x v="5"/>
    <x v="125"/>
    <n v="47.94684106"/>
    <n v="0.7885714285714286"/>
  </r>
  <r>
    <x v="28"/>
    <x v="144"/>
    <n v="49.5"/>
    <n v="18.7"/>
    <x v="0"/>
    <n v="15.9"/>
    <n v="2"/>
    <n v="115"/>
    <n v="98.90000000000001"/>
    <n v="67.90000000000001"/>
    <n v="161.1"/>
    <n v="2.769"/>
    <n v="14.5"/>
    <x v="5"/>
    <x v="126"/>
    <n v="47.32963226"/>
    <n v="1.176100628930818"/>
  </r>
  <r>
    <x v="29"/>
    <x v="145"/>
    <n v="17"/>
    <n v="18.7"/>
    <x v="0"/>
    <n v="23.4"/>
    <n v="1.9"/>
    <n v="160"/>
    <n v="100.5"/>
    <n v="67.59999999999999"/>
    <n v="176.6"/>
    <n v="2.998"/>
    <n v="15.8"/>
    <x v="1"/>
    <x v="103"/>
    <n v="66.1130568"/>
    <n v="0.7991452991452992"/>
  </r>
  <r>
    <x v="29"/>
    <x v="146"/>
    <n v="3.5"/>
    <n v="18.7"/>
    <x v="0"/>
    <n v="24.4"/>
    <n v="1.9"/>
    <n v="160"/>
    <n v="100.5"/>
    <n v="67.59999999999999"/>
    <n v="176.6"/>
    <n v="3.042"/>
    <n v="15.8"/>
    <x v="1"/>
    <x v="104"/>
    <n v="66.4988123"/>
    <n v="0.7663934426229508"/>
  </r>
  <r>
    <x v="29"/>
    <x v="147"/>
    <n v="15.2"/>
    <n v="18.7"/>
    <x v="0"/>
    <n v="27.5"/>
    <n v="2.4"/>
    <n v="168"/>
    <n v="104.9"/>
    <n v="69.3"/>
    <n v="185.9"/>
    <n v="3.208"/>
    <n v="17.9"/>
    <x v="1"/>
    <x v="76"/>
    <n v="70.65449545"/>
    <n v="0.6799999999999999"/>
  </r>
  <r>
    <x v="29"/>
    <x v="148"/>
    <n v="17.5"/>
    <n v="18.7"/>
    <x v="0"/>
    <n v="28.8"/>
    <n v="2.4"/>
    <n v="168"/>
    <n v="104.9"/>
    <n v="69.3"/>
    <n v="186.2"/>
    <n v="3.259"/>
    <n v="17.9"/>
    <x v="1"/>
    <x v="105"/>
    <n v="71.1559776"/>
    <n v="0.6493055555555555"/>
  </r>
  <r>
    <x v="29"/>
    <x v="149"/>
    <n v="3.5"/>
    <n v="18.7"/>
    <x v="0"/>
    <n v="45.5"/>
    <n v="2.3"/>
    <n v="236"/>
    <n v="104.9"/>
    <n v="71.5"/>
    <n v="185.7"/>
    <n v="3.601"/>
    <n v="18.5"/>
    <x v="7"/>
    <x v="106"/>
    <n v="101.6233572"/>
    <n v="0.410989010989011"/>
  </r>
  <r>
    <x v="29"/>
    <x v="150"/>
    <n v="19"/>
    <n v="18.7"/>
    <x v="0"/>
    <n v="36"/>
    <n v="2.9"/>
    <n v="201"/>
    <n v="109.9"/>
    <n v="72.09999999999999"/>
    <n v="189.8"/>
    <n v="3.6"/>
    <n v="21.1"/>
    <x v="6"/>
    <x v="107"/>
    <n v="85.73565451"/>
    <n v="0.5194444444444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1C41E-21A3-4F59-9FB9-1F15ABD3521A}"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14:H15" firstHeaderRow="1" firstDataRow="1" firstDataCol="0"/>
  <pivotFields count="19">
    <pivotField dataField="1" showAll="0" sortType="ascending">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Manufacturer" fld="0" subtotal="count"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96E3A6-AF20-49B8-80FF-FD3168FAC6C2}"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8:H9" firstHeaderRow="1" firstDataRow="1" firstDataCol="0"/>
  <pivotFields count="19">
    <pivotField showAll="0" sortType="ascending">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Fuel_efficiency" fld="13" subtotal="average"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14" firstHeaderRow="1" firstDataRow="1" firstDataCol="1"/>
  <pivotFields count="19">
    <pivotField axis="axisRow" showAll="0" measureFilter="1" sortType="ascending">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21">
        <item x="8"/>
        <item x="12"/>
        <item x="13"/>
        <item x="16"/>
        <item x="14"/>
        <item x="19"/>
        <item x="4"/>
        <item x="2"/>
        <item x="7"/>
        <item x="6"/>
        <item x="1"/>
        <item x="5"/>
        <item x="3"/>
        <item x="0"/>
        <item x="11"/>
        <item x="15"/>
        <item x="18"/>
        <item x="17"/>
        <item x="9"/>
        <item x="1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11">
    <i>
      <x v="3"/>
    </i>
    <i>
      <x v="5"/>
    </i>
    <i>
      <x v="7"/>
    </i>
    <i>
      <x v="8"/>
    </i>
    <i>
      <x v="9"/>
    </i>
    <i>
      <x v="13"/>
    </i>
    <i>
      <x v="17"/>
    </i>
    <i>
      <x v="19"/>
    </i>
    <i>
      <x v="22"/>
    </i>
    <i>
      <x v="27"/>
    </i>
    <i t="grand">
      <x/>
    </i>
  </rowItems>
  <colItems count="1">
    <i/>
  </colItems>
  <dataFields count="1">
    <dataField name="Sum of Sales_in_thousand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FEE40-1A17-4561-92E3-8B3922BAA008}"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3:H4" firstHeaderRow="1" firstDataRow="1" firstDataCol="0"/>
  <pivotFields count="19">
    <pivotField showAll="0" sortType="ascending">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dataField="1" showAll="0">
      <items count="152">
        <item x="79"/>
        <item x="31"/>
        <item x="6"/>
        <item x="7"/>
        <item x="122"/>
        <item x="137"/>
        <item x="8"/>
        <item x="121"/>
        <item x="3"/>
        <item x="4"/>
        <item x="5"/>
        <item x="58"/>
        <item x="54"/>
        <item x="105"/>
        <item x="98"/>
        <item x="106"/>
        <item x="132"/>
        <item x="33"/>
        <item x="144"/>
        <item x="116"/>
        <item x="118"/>
        <item x="107"/>
        <item x="109"/>
        <item x="149"/>
        <item x="142"/>
        <item x="21"/>
        <item x="131"/>
        <item x="41"/>
        <item x="120"/>
        <item x="119"/>
        <item x="15"/>
        <item x="17"/>
        <item x="88"/>
        <item x="133"/>
        <item x="9"/>
        <item x="64"/>
        <item x="29"/>
        <item x="53"/>
        <item x="95"/>
        <item x="94"/>
        <item x="28"/>
        <item x="72"/>
        <item x="44"/>
        <item x="130"/>
        <item x="22"/>
        <item x="83"/>
        <item x="47"/>
        <item x="55"/>
        <item x="104"/>
        <item x="39"/>
        <item x="13"/>
        <item x="78"/>
        <item x="40"/>
        <item x="89"/>
        <item x="76"/>
        <item x="59"/>
        <item x="14"/>
        <item x="66"/>
        <item x="16"/>
        <item x="42"/>
        <item x="50"/>
        <item x="48"/>
        <item x="114"/>
        <item x="46"/>
        <item x="129"/>
        <item x="103"/>
        <item x="52"/>
        <item x="77"/>
        <item x="139"/>
        <item x="113"/>
        <item x="65"/>
        <item x="85"/>
        <item x="115"/>
        <item x="67"/>
        <item x="68"/>
        <item x="143"/>
        <item x="61"/>
        <item x="25"/>
        <item x="0"/>
        <item x="140"/>
        <item x="138"/>
        <item x="12"/>
        <item x="30"/>
        <item x="127"/>
        <item x="69"/>
        <item x="19"/>
        <item x="126"/>
        <item x="70"/>
        <item x="18"/>
        <item x="99"/>
        <item x="96"/>
        <item x="24"/>
        <item x="75"/>
        <item x="117"/>
        <item x="20"/>
        <item x="80"/>
        <item x="81"/>
        <item x="86"/>
        <item x="43"/>
        <item x="82"/>
        <item x="74"/>
        <item x="32"/>
        <item x="57"/>
        <item x="128"/>
        <item x="11"/>
        <item x="141"/>
        <item x="56"/>
        <item x="101"/>
        <item x="23"/>
        <item x="111"/>
        <item x="100"/>
        <item x="36"/>
        <item x="38"/>
        <item x="37"/>
        <item x="51"/>
        <item x="136"/>
        <item x="10"/>
        <item x="2"/>
        <item x="71"/>
        <item x="145"/>
        <item x="147"/>
        <item x="150"/>
        <item x="84"/>
        <item x="124"/>
        <item x="90"/>
        <item x="27"/>
        <item x="26"/>
        <item x="97"/>
        <item x="135"/>
        <item x="108"/>
        <item x="123"/>
        <item x="91"/>
        <item x="92"/>
        <item x="93"/>
        <item x="60"/>
        <item x="34"/>
        <item x="62"/>
        <item x="112"/>
        <item x="125"/>
        <item x="134"/>
        <item x="45"/>
        <item x="1"/>
        <item x="73"/>
        <item x="146"/>
        <item x="148"/>
        <item x="87"/>
        <item x="35"/>
        <item x="110"/>
        <item x="49"/>
        <item x="63"/>
        <item x="10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Model" fld="1" subtotal="count"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C3:D6" firstHeaderRow="1" firstDataRow="1" firstDataCol="1"/>
  <pivotFields count="19">
    <pivotField showAll="0" sortType="ascending">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3">
    <i>
      <x/>
    </i>
    <i>
      <x v="1"/>
    </i>
    <i t="grand">
      <x/>
    </i>
  </rowItems>
  <colItems count="1">
    <i/>
  </colItems>
  <dataFields count="1">
    <dataField name="Average of Price_in_thousands" fld="5" subtotal="average" baseField="4" baseItem="0" numFmtId="164"/>
  </dataFields>
  <formats count="2">
    <format dxfId="23">
      <pivotArea outline="0" collapsedLevelsAreSubtotals="1" fieldPosition="0"/>
    </format>
    <format dxfId="22">
      <pivotArea collapsedLevelsAreSubtotals="1" fieldPosition="0">
        <references count="1">
          <reference field="4"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5:K16" firstHeaderRow="1" firstDataRow="1" firstDataCol="1"/>
  <pivotFields count="19">
    <pivotField axis="axisRow" showAll="0" measureFilter="1" sortType="ascending">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s>
  <rowFields count="1">
    <field x="0"/>
  </rowFields>
  <rowItems count="11">
    <i>
      <x v="5"/>
    </i>
    <i>
      <x v="7"/>
    </i>
    <i>
      <x v="8"/>
    </i>
    <i>
      <x v="16"/>
    </i>
    <i>
      <x v="17"/>
    </i>
    <i>
      <x v="18"/>
    </i>
    <i>
      <x v="19"/>
    </i>
    <i>
      <x v="25"/>
    </i>
    <i>
      <x v="27"/>
    </i>
    <i>
      <x v="28"/>
    </i>
    <i t="grand">
      <x/>
    </i>
  </rowItems>
  <colItems count="1">
    <i/>
  </colItems>
  <dataFields count="1">
    <dataField name="Sum of Resale_Ratio" fld="16" showDataAs="percentOfTotal" baseField="0" baseItem="0" numFmtId="10"/>
  </dataFields>
  <formats count="2">
    <format dxfId="25">
      <pivotArea outline="0" collapsedLevelsAreSubtotals="1" fieldPosition="0"/>
    </format>
    <format dxfId="24">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O2:P13" firstHeaderRow="1" firstDataRow="1" firstDataCol="1"/>
  <pivotFields count="19">
    <pivotField axis="axisRow" showAll="0" measureFilter="1" sortType="ascending">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0"/>
  </rowFields>
  <rowItems count="11">
    <i>
      <x/>
    </i>
    <i>
      <x v="2"/>
    </i>
    <i>
      <x v="5"/>
    </i>
    <i>
      <x v="9"/>
    </i>
    <i>
      <x v="10"/>
    </i>
    <i>
      <x v="11"/>
    </i>
    <i>
      <x v="21"/>
    </i>
    <i>
      <x v="25"/>
    </i>
    <i>
      <x v="27"/>
    </i>
    <i>
      <x v="28"/>
    </i>
    <i t="grand">
      <x/>
    </i>
  </rowItems>
  <colItems count="1">
    <i/>
  </colItems>
  <dataFields count="1">
    <dataField name="Average of Fuel_efficiency" fld="13" subtotal="average" baseField="0" baseItem="0"/>
  </dataFields>
  <formats count="1">
    <format dxfId="26">
      <pivotArea outline="0" collapsedLevelsAreSubtotals="1"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M8:N19" firstHeaderRow="1" firstDataRow="1" firstDataCol="1"/>
  <pivotFields count="19">
    <pivotField showAll="0" sortType="ascending">
      <items count="31">
        <item x="0"/>
        <item x="1"/>
        <item x="2"/>
        <item x="3"/>
        <item x="4"/>
        <item x="5"/>
        <item x="6"/>
        <item x="7"/>
        <item x="8"/>
        <item x="9"/>
        <item x="10"/>
        <item x="11"/>
        <item x="12"/>
        <item x="13"/>
        <item x="14"/>
        <item x="15"/>
        <item x="18"/>
        <item x="17"/>
        <item x="16"/>
        <item x="19"/>
        <item x="20"/>
        <item x="21"/>
        <item x="22"/>
        <item x="23"/>
        <item x="24"/>
        <item x="25"/>
        <item x="26"/>
        <item x="27"/>
        <item x="28"/>
        <item x="29"/>
        <item t="default"/>
      </items>
    </pivotField>
    <pivotField axis="axisRow" showAll="0" measureFilter="1" sortType="ascending">
      <items count="152">
        <item x="79"/>
        <item x="31"/>
        <item x="6"/>
        <item x="7"/>
        <item x="122"/>
        <item x="137"/>
        <item x="8"/>
        <item x="121"/>
        <item x="3"/>
        <item x="4"/>
        <item x="5"/>
        <item x="58"/>
        <item x="54"/>
        <item x="105"/>
        <item x="98"/>
        <item x="106"/>
        <item x="132"/>
        <item x="33"/>
        <item x="144"/>
        <item x="116"/>
        <item x="118"/>
        <item x="107"/>
        <item x="109"/>
        <item x="149"/>
        <item x="142"/>
        <item x="21"/>
        <item x="131"/>
        <item x="41"/>
        <item x="120"/>
        <item x="119"/>
        <item x="15"/>
        <item x="17"/>
        <item x="88"/>
        <item x="133"/>
        <item x="9"/>
        <item x="64"/>
        <item x="29"/>
        <item x="53"/>
        <item x="95"/>
        <item x="94"/>
        <item x="28"/>
        <item x="72"/>
        <item x="44"/>
        <item x="130"/>
        <item x="22"/>
        <item x="83"/>
        <item x="47"/>
        <item x="55"/>
        <item x="104"/>
        <item x="39"/>
        <item x="13"/>
        <item x="78"/>
        <item x="40"/>
        <item x="89"/>
        <item x="76"/>
        <item x="59"/>
        <item x="14"/>
        <item x="66"/>
        <item x="16"/>
        <item x="42"/>
        <item x="50"/>
        <item x="48"/>
        <item x="114"/>
        <item x="46"/>
        <item x="129"/>
        <item x="103"/>
        <item x="52"/>
        <item x="77"/>
        <item x="139"/>
        <item x="113"/>
        <item x="65"/>
        <item x="85"/>
        <item x="115"/>
        <item x="67"/>
        <item x="68"/>
        <item x="143"/>
        <item x="61"/>
        <item x="25"/>
        <item x="0"/>
        <item x="140"/>
        <item x="138"/>
        <item x="12"/>
        <item x="30"/>
        <item x="127"/>
        <item x="69"/>
        <item x="19"/>
        <item x="126"/>
        <item x="70"/>
        <item x="18"/>
        <item x="99"/>
        <item x="96"/>
        <item x="24"/>
        <item x="75"/>
        <item x="117"/>
        <item x="20"/>
        <item x="80"/>
        <item x="81"/>
        <item x="86"/>
        <item x="43"/>
        <item x="82"/>
        <item x="74"/>
        <item x="32"/>
        <item x="57"/>
        <item x="128"/>
        <item x="11"/>
        <item x="141"/>
        <item x="56"/>
        <item x="101"/>
        <item x="23"/>
        <item x="111"/>
        <item x="100"/>
        <item x="36"/>
        <item x="38"/>
        <item x="37"/>
        <item x="51"/>
        <item x="136"/>
        <item x="10"/>
        <item x="2"/>
        <item x="71"/>
        <item x="145"/>
        <item x="147"/>
        <item x="150"/>
        <item x="84"/>
        <item x="124"/>
        <item x="90"/>
        <item x="27"/>
        <item x="26"/>
        <item x="97"/>
        <item x="135"/>
        <item x="108"/>
        <item x="123"/>
        <item x="91"/>
        <item x="92"/>
        <item x="93"/>
        <item x="60"/>
        <item x="34"/>
        <item x="62"/>
        <item x="112"/>
        <item x="125"/>
        <item x="134"/>
        <item x="45"/>
        <item x="1"/>
        <item x="73"/>
        <item x="146"/>
        <item x="148"/>
        <item x="87"/>
        <item x="35"/>
        <item x="110"/>
        <item x="49"/>
        <item x="63"/>
        <item x="102"/>
        <item t="default"/>
      </items>
    </pivotField>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11">
    <i>
      <x v="12"/>
    </i>
    <i>
      <x v="26"/>
    </i>
    <i>
      <x v="27"/>
    </i>
    <i>
      <x v="37"/>
    </i>
    <i>
      <x v="61"/>
    </i>
    <i>
      <x v="63"/>
    </i>
    <i>
      <x v="66"/>
    </i>
    <i>
      <x v="111"/>
    </i>
    <i>
      <x v="114"/>
    </i>
    <i>
      <x v="140"/>
    </i>
    <i t="grand">
      <x/>
    </i>
  </rowItems>
  <colItems count="1">
    <i/>
  </colItems>
  <dataFields count="1">
    <dataField name="Sum of Sales_in_thousands" fld="2" baseField="0" baseItem="0"/>
  </dataFields>
  <formats count="1">
    <format dxfId="2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1" xr10:uid="{F1BB4384-6159-4D19-A829-C909B37388B5}" sourceName="Manufacturer">
  <pivotTables>
    <pivotTable tabId="2" name="PivotTable1"/>
    <pivotTable tabId="2" name="PivotTable2"/>
    <pivotTable tabId="2" name="PivotTable3"/>
    <pivotTable tabId="2" name="PivotTable4"/>
  </pivotTables>
  <data>
    <tabular pivotCacheId="1970954026">
      <items count="30">
        <i x="0" s="1"/>
        <i x="1" s="1"/>
        <i x="2" s="1"/>
        <i x="3" s="1"/>
        <i x="4" s="1"/>
        <i x="5" s="1"/>
        <i x="6" s="1"/>
        <i x="7" s="1"/>
        <i x="8" s="1"/>
        <i x="9" s="1"/>
        <i x="10" s="1"/>
        <i x="11" s="1"/>
        <i x="12" s="1"/>
        <i x="13" s="1"/>
        <i x="14" s="1"/>
        <i x="15" s="1"/>
        <i x="18" s="1"/>
        <i x="17" s="1"/>
        <i x="16" s="1"/>
        <i x="19" s="1"/>
        <i x="20" s="1"/>
        <i x="21" s="1"/>
        <i x="22" s="1"/>
        <i x="23" s="1"/>
        <i x="24" s="1"/>
        <i x="25" s="1"/>
        <i x="26" s="1"/>
        <i x="27" s="1"/>
        <i x="2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1" xr10:uid="{5292C19E-5920-4B99-B622-A99DD84BD2F0}" sourceName="Vehicle_type">
  <pivotTables>
    <pivotTable tabId="2" name="PivotTable1"/>
  </pivotTables>
  <data>
    <tabular pivotCacheId="197095402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efficiency1" xr10:uid="{70B6F28B-3FC6-438C-87B5-787D642D3F65}" sourceName="Fuel_efficiency">
  <pivotTables>
    <pivotTable tabId="2" name="PivotTable1"/>
  </pivotTables>
  <data>
    <tabular pivotCacheId="1970954026">
      <items count="20">
        <i x="8" s="1"/>
        <i x="12" s="1"/>
        <i x="13" s="1"/>
        <i x="16" s="1"/>
        <i x="14" s="1"/>
        <i x="19" s="1"/>
        <i x="4" s="1"/>
        <i x="2" s="1"/>
        <i x="7" s="1"/>
        <i x="6" s="1"/>
        <i x="1" s="1"/>
        <i x="5" s="1"/>
        <i x="3" s="1"/>
        <i x="0" s="1"/>
        <i x="11" s="1"/>
        <i x="15" s="1"/>
        <i x="18" s="1"/>
        <i x="17" s="1"/>
        <i x="9"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test_Launch1" xr10:uid="{2069EE7D-78D5-4A0C-BCE9-567381AFCC28}" sourceName="Latest_Launch">
  <pivotTables>
    <pivotTable tabId="2" name="PivotTable1"/>
  </pivotTables>
  <data>
    <tabular pivotCacheId="197095402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B2ED9393-A7D7-4E66-8FB7-A345CA959F6F}" cache="Slicer_Manufacturer1" caption="Manufacturer" style="SlicerStyleDark2" rowHeight="241300"/>
  <slicer name="Vehicle_type" xr10:uid="{C8EB4557-F694-4BEF-971F-0D3E4DEF5AAC}" cache="Slicer_Vehicle_type1" caption="Vehicle_type" style="SlicerStyleDark2" rowHeight="241300"/>
  <slicer name="Fuel_efficiency" xr10:uid="{D0F6B09F-9B38-4EA9-8E38-873117618FF0}" cache="Slicer_Fuel_efficiency1" caption="Fuel_efficiency" startItem="6" style="SlicerStyleDark2" rowHeight="241300"/>
  <slicer name="Latest_Launch" xr10:uid="{169B89BD-943D-4AD8-AB9F-4124322E3C16}" cache="Slicer_Latest_Launch1" caption="Latest_Launch"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51C84-EC70-4ED9-961F-5EE5869F6D90}" name="Table1" displayName="Table1" ref="A1:Q153" totalsRowShown="0">
  <autoFilter ref="A1:Q153" xr:uid="{5CB51C84-EC70-4ED9-961F-5EE5869F6D90}"/>
  <tableColumns count="17">
    <tableColumn id="1" xr3:uid="{7604EBD0-BA1C-497D-9B52-F33F05EE9928}" name="Manufacturer"/>
    <tableColumn id="2" xr3:uid="{1D108048-EC6B-43B4-87D2-FC5DFE2DE85F}" name="Model"/>
    <tableColumn id="3" xr3:uid="{485CFF80-9CD3-43D0-BBC3-FFA1361B4813}" name="Sales_in_thousands"/>
    <tableColumn id="4" xr3:uid="{CDA1E215-1942-494C-82B7-C521D7B85B17}" name="__year_resale_value"/>
    <tableColumn id="5" xr3:uid="{D536677A-5CB9-4172-904B-7E1919DA028C}" name="Vehicle_type"/>
    <tableColumn id="6" xr3:uid="{5AE8115F-0909-49F7-9E58-9E33653FBA40}" name="Price_in_thousands"/>
    <tableColumn id="7" xr3:uid="{2BB10F47-EC14-4727-83E4-0E55C623E932}" name="Engine_size"/>
    <tableColumn id="8" xr3:uid="{84D123B7-CCF3-461C-B101-F69F9FF01930}" name="Horsepower"/>
    <tableColumn id="9" xr3:uid="{8A412D25-2ACA-42C6-A0F0-E7886F0E73BF}" name="Wheelbase"/>
    <tableColumn id="10" xr3:uid="{2C723A1E-09D3-4672-B70A-267CE42CA4C0}" name="Width"/>
    <tableColumn id="11" xr3:uid="{8D171B7B-454D-4D02-875F-EC62E02FF03B}" name="Length"/>
    <tableColumn id="12" xr3:uid="{E57621EF-22DD-4283-8A4F-A5881E4E0B54}" name="Curb_weight"/>
    <tableColumn id="13" xr3:uid="{144BFC53-D3C2-4BEC-9DA7-0EF4DABE8375}" name="Fuel_capacity"/>
    <tableColumn id="14" xr3:uid="{CD676C2F-4F7A-4274-9953-E5F3D3310141}" name="Fuel_efficiency"/>
    <tableColumn id="15" xr3:uid="{BB7C8749-E8CA-4992-AC66-9084B6A05850}" name="Latest_Launch" dataDxfId="18"/>
    <tableColumn id="16" xr3:uid="{E4BDFE9E-E5EF-49C9-8548-00469060B5E6}" name="Power_perf_factor"/>
    <tableColumn id="17" xr3:uid="{39F0DA5F-2AC6-4131-A019-DFB6E9D39475}" name="Resale_Rat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3"/>
  <sheetViews>
    <sheetView showGridLines="0" showRowColHeaders="0" tabSelected="1" zoomScaleNormal="100" workbookViewId="0">
      <selection activeCell="E4" sqref="E4"/>
    </sheetView>
  </sheetViews>
  <sheetFormatPr defaultRowHeight="15" x14ac:dyDescent="0.25"/>
  <cols>
    <col min="2" max="2" width="22" style="1" customWidth="1"/>
    <col min="4" max="4" width="22" style="1" customWidth="1"/>
    <col min="6" max="6" width="22" style="1" customWidth="1"/>
    <col min="8" max="8" width="22" style="1" customWidth="1"/>
    <col min="10" max="10" width="22" style="1" customWidth="1"/>
    <col min="12" max="12" width="22" style="1" customWidth="1"/>
  </cols>
  <sheetData>
    <row r="1" spans="1:30"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row>
    <row r="2" spans="1:30" ht="30" customHeight="1" x14ac:dyDescent="0.25">
      <c r="A2" s="10"/>
      <c r="B2" s="12" t="s">
        <v>0</v>
      </c>
      <c r="C2" s="10"/>
      <c r="D2" s="12" t="s">
        <v>1</v>
      </c>
      <c r="E2" s="10"/>
      <c r="F2" s="12" t="s">
        <v>2</v>
      </c>
      <c r="G2" s="10"/>
      <c r="H2" s="12" t="s">
        <v>3</v>
      </c>
      <c r="I2" s="10"/>
      <c r="J2" s="12" t="s">
        <v>4</v>
      </c>
      <c r="K2" s="10"/>
      <c r="L2" s="10"/>
      <c r="M2" s="10"/>
      <c r="N2" s="10"/>
      <c r="O2" s="10"/>
      <c r="P2" s="10"/>
      <c r="Q2" s="10"/>
      <c r="R2" s="10"/>
      <c r="S2" s="10"/>
      <c r="T2" s="10"/>
      <c r="U2" s="10"/>
      <c r="V2" s="10"/>
      <c r="W2" s="10"/>
      <c r="X2" s="10"/>
      <c r="Y2" s="10"/>
      <c r="Z2" s="10"/>
      <c r="AA2" s="10"/>
      <c r="AB2" s="10"/>
      <c r="AC2" s="10"/>
      <c r="AD2" s="10"/>
    </row>
    <row r="3" spans="1:30" ht="45" customHeight="1" x14ac:dyDescent="0.25">
      <c r="A3" s="10"/>
      <c r="B3" s="11">
        <f>GETPIVOTDATA("Sales_in_thousands",'Pivot taple'!$A$3)</f>
        <v>6275.5</v>
      </c>
      <c r="C3" s="10"/>
      <c r="D3" s="13">
        <f>GETPIVOTDATA("Price_in_thousands",'Pivot taple'!$C$3)</f>
        <v>27.333618421052627</v>
      </c>
      <c r="E3" s="10"/>
      <c r="F3" s="13">
        <f>GETPIVOTDATA("Fuel_efficiency",'Pivot taple'!$H$8)</f>
        <v>23.842105263157894</v>
      </c>
      <c r="G3" s="10"/>
      <c r="H3" s="11">
        <f>GETPIVOTDATA("Model",'Pivot taple'!$H$3)</f>
        <v>152</v>
      </c>
      <c r="I3" s="10"/>
      <c r="J3" s="11">
        <f>GETPIVOTDATA("Manufacturer",'Pivot taple'!$H$14)</f>
        <v>152</v>
      </c>
      <c r="K3" s="10"/>
      <c r="L3" s="10"/>
      <c r="M3" s="10"/>
      <c r="N3" s="10"/>
      <c r="O3" s="10"/>
      <c r="P3" s="10"/>
      <c r="Q3" s="10"/>
      <c r="R3" s="10"/>
      <c r="S3" s="10"/>
      <c r="T3" s="10"/>
      <c r="U3" s="10"/>
      <c r="V3" s="10"/>
      <c r="W3" s="10"/>
      <c r="X3" s="10"/>
      <c r="Y3" s="10"/>
      <c r="Z3" s="10"/>
      <c r="AA3" s="10"/>
      <c r="AB3" s="10"/>
      <c r="AC3" s="10"/>
      <c r="AD3" s="10"/>
    </row>
    <row r="4" spans="1:30"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row>
    <row r="5" spans="1:30"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spans="1:30"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row>
    <row r="8" spans="1:30"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row>
    <row r="9" spans="1:30"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row>
    <row r="10" spans="1:30"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row>
    <row r="11" spans="1:30"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row>
    <row r="12" spans="1:30"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row>
    <row r="13" spans="1:30"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row>
    <row r="14" spans="1:30"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row>
    <row r="15" spans="1:30"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0"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0"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0"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0"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0"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spans="1:30"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row>
    <row r="23" spans="1:30"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row>
    <row r="24" spans="1:30"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1:30"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1:30"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0"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0"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0"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1:30"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1:30"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1:30"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1:30"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1:30"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1:30"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1:30"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1:30"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spans="1:30"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1:30"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spans="1:30"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36"/>
  <sheetViews>
    <sheetView workbookViewId="0">
      <selection activeCell="J19" sqref="J19"/>
    </sheetView>
  </sheetViews>
  <sheetFormatPr defaultRowHeight="15" x14ac:dyDescent="0.25"/>
  <cols>
    <col min="1" max="1" width="13.140625" style="1" bestFit="1" customWidth="1"/>
    <col min="2" max="2" width="25.5703125" style="1" bestFit="1" customWidth="1"/>
    <col min="3" max="3" width="13.140625" style="1" bestFit="1" customWidth="1"/>
    <col min="4" max="4" width="28.85546875" style="1" bestFit="1" customWidth="1"/>
    <col min="8" max="9" width="21.5703125" bestFit="1" customWidth="1"/>
    <col min="10" max="10" width="13.140625" style="1" bestFit="1" customWidth="1"/>
    <col min="11" max="11" width="19.28515625" style="1" bestFit="1" customWidth="1"/>
    <col min="13" max="13" width="13.140625" style="1" bestFit="1" customWidth="1"/>
    <col min="14" max="14" width="25.5703125" style="1" bestFit="1" customWidth="1"/>
    <col min="15" max="15" width="13.140625" style="1" bestFit="1" customWidth="1"/>
    <col min="16" max="16" width="25" style="1" bestFit="1" customWidth="1"/>
  </cols>
  <sheetData>
    <row r="2" spans="1:16" x14ac:dyDescent="0.25">
      <c r="O2" s="3" t="s">
        <v>7</v>
      </c>
      <c r="P2" t="s">
        <v>6</v>
      </c>
    </row>
    <row r="3" spans="1:16" x14ac:dyDescent="0.25">
      <c r="A3" s="3" t="s">
        <v>7</v>
      </c>
      <c r="B3" t="s">
        <v>8</v>
      </c>
      <c r="C3" s="3" t="s">
        <v>7</v>
      </c>
      <c r="D3" t="s">
        <v>9</v>
      </c>
      <c r="H3" t="s">
        <v>211</v>
      </c>
      <c r="O3" s="4" t="s">
        <v>54</v>
      </c>
      <c r="P3" s="8">
        <v>25</v>
      </c>
    </row>
    <row r="4" spans="1:16" x14ac:dyDescent="0.25">
      <c r="A4" s="4" t="s">
        <v>10</v>
      </c>
      <c r="B4" s="9">
        <v>242.2</v>
      </c>
      <c r="C4" s="4" t="s">
        <v>11</v>
      </c>
      <c r="D4" s="7">
        <v>26.321999999999992</v>
      </c>
      <c r="H4" s="6">
        <v>152</v>
      </c>
      <c r="O4" s="4" t="s">
        <v>62</v>
      </c>
      <c r="P4" s="8">
        <v>25</v>
      </c>
    </row>
    <row r="5" spans="1:16" x14ac:dyDescent="0.25">
      <c r="A5" s="4" t="s">
        <v>12</v>
      </c>
      <c r="B5" s="9">
        <v>554.29999999999995</v>
      </c>
      <c r="C5" s="4" t="s">
        <v>13</v>
      </c>
      <c r="D5" s="7">
        <v>27.694910714285708</v>
      </c>
      <c r="J5" s="3" t="s">
        <v>7</v>
      </c>
      <c r="K5" t="s">
        <v>14</v>
      </c>
      <c r="O5" s="4" t="s">
        <v>12</v>
      </c>
      <c r="P5" s="8">
        <v>28.444444444444443</v>
      </c>
    </row>
    <row r="6" spans="1:16" x14ac:dyDescent="0.25">
      <c r="A6" s="4" t="s">
        <v>15</v>
      </c>
      <c r="B6" s="9">
        <v>822</v>
      </c>
      <c r="C6" s="4" t="s">
        <v>16</v>
      </c>
      <c r="D6" s="6">
        <v>27.333618421052627</v>
      </c>
      <c r="J6" s="4" t="s">
        <v>12</v>
      </c>
      <c r="K6" s="5">
        <v>0.10838801757780948</v>
      </c>
      <c r="O6" s="4" t="s">
        <v>17</v>
      </c>
      <c r="P6" s="8">
        <v>25</v>
      </c>
    </row>
    <row r="7" spans="1:16" x14ac:dyDescent="0.25">
      <c r="A7" s="4" t="s">
        <v>5</v>
      </c>
      <c r="B7" s="9">
        <v>2022.6999999999998</v>
      </c>
      <c r="J7" s="4" t="s">
        <v>15</v>
      </c>
      <c r="K7" s="5">
        <v>0.12241319622318902</v>
      </c>
      <c r="O7" s="4" t="s">
        <v>108</v>
      </c>
      <c r="P7" s="8">
        <v>27.666666666666668</v>
      </c>
    </row>
    <row r="8" spans="1:16" x14ac:dyDescent="0.25">
      <c r="A8" s="4" t="s">
        <v>17</v>
      </c>
      <c r="B8" s="9">
        <v>592.70000000000005</v>
      </c>
      <c r="H8" t="s">
        <v>6</v>
      </c>
      <c r="J8" s="4" t="s">
        <v>5</v>
      </c>
      <c r="K8" s="5">
        <v>0.13353980570497537</v>
      </c>
      <c r="M8" s="3" t="s">
        <v>7</v>
      </c>
      <c r="N8" t="s">
        <v>8</v>
      </c>
      <c r="O8" s="4" t="s">
        <v>112</v>
      </c>
      <c r="P8" s="8">
        <v>25</v>
      </c>
    </row>
    <row r="9" spans="1:16" x14ac:dyDescent="0.25">
      <c r="A9" s="4" t="s">
        <v>18</v>
      </c>
      <c r="B9" s="9">
        <v>293.2</v>
      </c>
      <c r="H9" s="6">
        <v>23.842105263157894</v>
      </c>
      <c r="J9" s="4" t="s">
        <v>19</v>
      </c>
      <c r="K9" s="5">
        <v>9.3576014712848224E-2</v>
      </c>
      <c r="M9" s="4" t="s">
        <v>20</v>
      </c>
      <c r="N9" s="6">
        <v>230.9</v>
      </c>
      <c r="O9" s="4" t="s">
        <v>165</v>
      </c>
      <c r="P9" s="8">
        <v>25.25</v>
      </c>
    </row>
    <row r="10" spans="1:16" x14ac:dyDescent="0.25">
      <c r="A10" s="4" t="s">
        <v>21</v>
      </c>
      <c r="B10" s="9">
        <v>238.10000000000002</v>
      </c>
      <c r="J10" s="4" t="s">
        <v>21</v>
      </c>
      <c r="K10" s="5">
        <v>7.1990306501520607E-2</v>
      </c>
      <c r="M10" s="4" t="s">
        <v>22</v>
      </c>
      <c r="N10" s="6">
        <v>248</v>
      </c>
      <c r="O10" s="4" t="s">
        <v>29</v>
      </c>
      <c r="P10" s="8">
        <v>30.4</v>
      </c>
    </row>
    <row r="11" spans="1:16" x14ac:dyDescent="0.25">
      <c r="A11" s="4" t="s">
        <v>23</v>
      </c>
      <c r="B11" s="9">
        <v>399.7</v>
      </c>
      <c r="J11" s="4" t="s">
        <v>24</v>
      </c>
      <c r="K11" s="5">
        <v>7.9800112550515778E-2</v>
      </c>
      <c r="M11" s="4" t="s">
        <v>25</v>
      </c>
      <c r="N11" s="6">
        <v>181.7</v>
      </c>
      <c r="O11" s="4" t="s">
        <v>28</v>
      </c>
      <c r="P11" s="8">
        <v>25.222222222222221</v>
      </c>
    </row>
    <row r="12" spans="1:16" x14ac:dyDescent="0.25">
      <c r="A12" s="4" t="s">
        <v>26</v>
      </c>
      <c r="B12" s="9">
        <v>370.5</v>
      </c>
      <c r="J12" s="4" t="s">
        <v>23</v>
      </c>
      <c r="K12" s="5">
        <v>8.6304846821355391E-2</v>
      </c>
      <c r="M12" s="4" t="s">
        <v>27</v>
      </c>
      <c r="N12" s="6">
        <v>199.7</v>
      </c>
      <c r="O12" s="4" t="s">
        <v>32</v>
      </c>
      <c r="P12" s="8">
        <v>26.166666666666668</v>
      </c>
    </row>
    <row r="13" spans="1:16" x14ac:dyDescent="0.25">
      <c r="A13" s="4" t="s">
        <v>28</v>
      </c>
      <c r="B13" s="9">
        <v>740.1</v>
      </c>
      <c r="J13" s="4" t="s">
        <v>29</v>
      </c>
      <c r="K13" s="5">
        <v>8.4238986236384081E-2</v>
      </c>
      <c r="M13" s="4" t="s">
        <v>30</v>
      </c>
      <c r="N13" s="6">
        <v>276.7</v>
      </c>
      <c r="O13" s="4" t="s">
        <v>16</v>
      </c>
      <c r="P13" s="8">
        <v>26.583333333333332</v>
      </c>
    </row>
    <row r="14" spans="1:16" x14ac:dyDescent="0.25">
      <c r="A14" s="4" t="s">
        <v>16</v>
      </c>
      <c r="B14" s="9">
        <v>6275.5</v>
      </c>
      <c r="H14" t="s">
        <v>212</v>
      </c>
      <c r="J14" s="4" t="s">
        <v>28</v>
      </c>
      <c r="K14" s="5">
        <v>0.12765500399323693</v>
      </c>
      <c r="M14" s="4" t="s">
        <v>31</v>
      </c>
      <c r="N14" s="6">
        <v>175.7</v>
      </c>
      <c r="O14"/>
      <c r="P14"/>
    </row>
    <row r="15" spans="1:16" x14ac:dyDescent="0.25">
      <c r="A15"/>
      <c r="B15"/>
      <c r="H15" s="6">
        <v>152</v>
      </c>
      <c r="J15" s="4" t="s">
        <v>32</v>
      </c>
      <c r="K15" s="5">
        <v>9.2093709678165145E-2</v>
      </c>
      <c r="M15" s="4" t="s">
        <v>33</v>
      </c>
      <c r="N15" s="6">
        <v>540.6</v>
      </c>
      <c r="O15"/>
      <c r="P15"/>
    </row>
    <row r="16" spans="1:16" x14ac:dyDescent="0.25">
      <c r="A16"/>
      <c r="B16"/>
      <c r="J16" s="4" t="s">
        <v>16</v>
      </c>
      <c r="K16" s="5">
        <v>1</v>
      </c>
      <c r="M16" s="4" t="s">
        <v>34</v>
      </c>
      <c r="N16" s="6">
        <v>227.1</v>
      </c>
      <c r="O16"/>
      <c r="P16"/>
    </row>
    <row r="17" spans="1:16" customFormat="1" x14ac:dyDescent="0.25">
      <c r="C17" s="1"/>
      <c r="D17" s="1"/>
      <c r="M17" s="4" t="s">
        <v>35</v>
      </c>
      <c r="N17" s="6">
        <v>220.7</v>
      </c>
    </row>
    <row r="18" spans="1:16" customFormat="1" x14ac:dyDescent="0.25">
      <c r="C18" s="1"/>
      <c r="D18" s="1"/>
      <c r="M18" s="4" t="s">
        <v>36</v>
      </c>
      <c r="N18" s="6">
        <v>245.8</v>
      </c>
    </row>
    <row r="19" spans="1:16" customFormat="1" x14ac:dyDescent="0.25">
      <c r="C19" s="1"/>
      <c r="D19" s="1"/>
      <c r="M19" s="4" t="s">
        <v>16</v>
      </c>
      <c r="N19" s="6">
        <v>2546.9</v>
      </c>
    </row>
    <row r="20" spans="1:16" x14ac:dyDescent="0.25">
      <c r="A20"/>
      <c r="B20"/>
      <c r="J20"/>
      <c r="K20"/>
      <c r="O20"/>
      <c r="P20"/>
    </row>
    <row r="21" spans="1:16" x14ac:dyDescent="0.25">
      <c r="A21"/>
      <c r="B21"/>
      <c r="J21"/>
      <c r="K21"/>
      <c r="O21"/>
      <c r="P21"/>
    </row>
    <row r="22" spans="1:16" x14ac:dyDescent="0.25">
      <c r="A22"/>
      <c r="B22"/>
      <c r="J22"/>
      <c r="K22"/>
      <c r="O22"/>
      <c r="P22"/>
    </row>
    <row r="23" spans="1:16" x14ac:dyDescent="0.25">
      <c r="A23"/>
      <c r="B23"/>
      <c r="J23"/>
      <c r="K23"/>
      <c r="O23"/>
      <c r="P23"/>
    </row>
    <row r="24" spans="1:16" x14ac:dyDescent="0.25">
      <c r="A24"/>
      <c r="B24"/>
      <c r="J24"/>
      <c r="K24"/>
      <c r="O24"/>
      <c r="P24"/>
    </row>
    <row r="25" spans="1:16" x14ac:dyDescent="0.25">
      <c r="A25"/>
      <c r="B25"/>
      <c r="J25"/>
      <c r="K25"/>
      <c r="O25"/>
      <c r="P25"/>
    </row>
    <row r="26" spans="1:16" x14ac:dyDescent="0.25">
      <c r="A26"/>
      <c r="B26"/>
      <c r="J26"/>
      <c r="K26"/>
      <c r="O26"/>
      <c r="P26"/>
    </row>
    <row r="27" spans="1:16" x14ac:dyDescent="0.25">
      <c r="A27"/>
      <c r="B27"/>
      <c r="J27"/>
      <c r="K27"/>
      <c r="O27"/>
      <c r="P27"/>
    </row>
    <row r="28" spans="1:16" x14ac:dyDescent="0.25">
      <c r="A28"/>
      <c r="B28"/>
      <c r="J28"/>
      <c r="K28"/>
      <c r="O28"/>
      <c r="P28"/>
    </row>
    <row r="29" spans="1:16" x14ac:dyDescent="0.25">
      <c r="A29"/>
      <c r="B29"/>
      <c r="J29"/>
      <c r="K29"/>
      <c r="O29"/>
      <c r="P29"/>
    </row>
    <row r="30" spans="1:16" x14ac:dyDescent="0.25">
      <c r="A30"/>
      <c r="B30"/>
      <c r="J30"/>
      <c r="K30"/>
      <c r="O30"/>
      <c r="P30"/>
    </row>
    <row r="31" spans="1:16" x14ac:dyDescent="0.25">
      <c r="A31"/>
      <c r="B31"/>
      <c r="J31"/>
      <c r="K31"/>
      <c r="O31"/>
      <c r="P31"/>
    </row>
    <row r="32" spans="1:16" x14ac:dyDescent="0.25">
      <c r="A32"/>
      <c r="B32"/>
      <c r="J32"/>
      <c r="K32"/>
      <c r="O32"/>
      <c r="P32"/>
    </row>
    <row r="33" spans="1:16" x14ac:dyDescent="0.25">
      <c r="A33"/>
      <c r="B33"/>
      <c r="J33"/>
      <c r="K33"/>
      <c r="O33"/>
      <c r="P33"/>
    </row>
    <row r="34" spans="1:16" x14ac:dyDescent="0.25">
      <c r="A34"/>
      <c r="B34"/>
      <c r="J34"/>
      <c r="K34"/>
    </row>
    <row r="35" spans="1:16" x14ac:dyDescent="0.25">
      <c r="J35"/>
      <c r="K35"/>
    </row>
    <row r="36" spans="1:16" x14ac:dyDescent="0.25">
      <c r="J36"/>
      <c r="K36"/>
    </row>
  </sheetData>
  <pageMargins left="0.7" right="0.7" top="0.75" bottom="0.75" header="0.3" footer="0.3"/>
  <pageSetup orientation="portrait"/>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53"/>
  <sheetViews>
    <sheetView topLeftCell="B1" workbookViewId="0">
      <selection activeCell="F24" sqref="F24"/>
    </sheetView>
  </sheetViews>
  <sheetFormatPr defaultRowHeight="15" x14ac:dyDescent="0.25"/>
  <cols>
    <col min="1" max="1" width="15.5703125" style="1" bestFit="1" customWidth="1"/>
    <col min="2" max="2" width="15.42578125" style="1" bestFit="1" customWidth="1"/>
    <col min="3" max="3" width="21" style="1" bestFit="1" customWidth="1"/>
    <col min="4" max="4" width="21.7109375" style="1" bestFit="1" customWidth="1"/>
    <col min="5" max="5" width="15" style="1" bestFit="1" customWidth="1"/>
    <col min="6" max="6" width="20.85546875" style="1" bestFit="1" customWidth="1"/>
    <col min="7" max="7" width="13.7109375" style="1" bestFit="1" customWidth="1"/>
    <col min="8" max="8" width="14.140625" style="1" bestFit="1" customWidth="1"/>
    <col min="9" max="9" width="13.42578125" style="1" bestFit="1" customWidth="1"/>
    <col min="10" max="10" width="8.85546875" style="1" bestFit="1" customWidth="1"/>
    <col min="11" max="11" width="9.28515625" style="1" bestFit="1" customWidth="1"/>
    <col min="12" max="12" width="14.5703125" style="1" bestFit="1" customWidth="1"/>
    <col min="13" max="13" width="15.42578125" style="1" bestFit="1" customWidth="1"/>
    <col min="14" max="14" width="17" style="1" bestFit="1" customWidth="1"/>
    <col min="15" max="15" width="15.85546875" style="1" bestFit="1" customWidth="1"/>
    <col min="16" max="16" width="20.140625" style="1" bestFit="1" customWidth="1"/>
    <col min="17" max="17" width="14.7109375" style="1" bestFit="1" customWidth="1"/>
    <col min="18" max="18" width="11.140625" style="1" bestFit="1" customWidth="1"/>
  </cols>
  <sheetData>
    <row r="1" spans="1:17" x14ac:dyDescent="0.25">
      <c r="A1" t="s">
        <v>37</v>
      </c>
      <c r="B1" t="s">
        <v>38</v>
      </c>
      <c r="C1" t="s">
        <v>39</v>
      </c>
      <c r="D1" t="s">
        <v>40</v>
      </c>
      <c r="E1" t="s">
        <v>41</v>
      </c>
      <c r="F1" t="s">
        <v>42</v>
      </c>
      <c r="G1" t="s">
        <v>43</v>
      </c>
      <c r="H1" t="s">
        <v>44</v>
      </c>
      <c r="I1" t="s">
        <v>45</v>
      </c>
      <c r="J1" t="s">
        <v>46</v>
      </c>
      <c r="K1" t="s">
        <v>47</v>
      </c>
      <c r="L1" t="s">
        <v>48</v>
      </c>
      <c r="M1" t="s">
        <v>49</v>
      </c>
      <c r="N1" t="s">
        <v>50</v>
      </c>
      <c r="O1" t="s">
        <v>51</v>
      </c>
      <c r="P1" t="s">
        <v>52</v>
      </c>
      <c r="Q1" t="s">
        <v>53</v>
      </c>
    </row>
    <row r="2" spans="1:17" x14ac:dyDescent="0.25">
      <c r="A2" t="s">
        <v>54</v>
      </c>
      <c r="B2" t="s">
        <v>55</v>
      </c>
      <c r="C2">
        <v>16.899999999999999</v>
      </c>
      <c r="D2">
        <v>16.399999999999999</v>
      </c>
      <c r="E2" t="s">
        <v>13</v>
      </c>
      <c r="F2">
        <v>21.5</v>
      </c>
      <c r="G2">
        <v>1.8</v>
      </c>
      <c r="H2">
        <v>140</v>
      </c>
      <c r="I2">
        <v>101.2</v>
      </c>
      <c r="J2">
        <v>67.3</v>
      </c>
      <c r="K2">
        <v>172.4</v>
      </c>
      <c r="L2">
        <v>2.6389999999999998</v>
      </c>
      <c r="M2">
        <v>13.2</v>
      </c>
      <c r="N2">
        <v>28</v>
      </c>
      <c r="O2" s="2">
        <v>40941</v>
      </c>
      <c r="P2">
        <v>58.280149520000002</v>
      </c>
      <c r="Q2">
        <v>0.76279069767441854</v>
      </c>
    </row>
    <row r="3" spans="1:17" x14ac:dyDescent="0.25">
      <c r="A3" t="s">
        <v>54</v>
      </c>
      <c r="B3" t="s">
        <v>56</v>
      </c>
      <c r="C3">
        <v>39.4</v>
      </c>
      <c r="D3">
        <v>19.899999999999999</v>
      </c>
      <c r="E3" t="s">
        <v>13</v>
      </c>
      <c r="F3">
        <v>28.4</v>
      </c>
      <c r="G3">
        <v>3.2</v>
      </c>
      <c r="H3">
        <v>225</v>
      </c>
      <c r="I3">
        <v>108.1</v>
      </c>
      <c r="J3">
        <v>70.3</v>
      </c>
      <c r="K3">
        <v>192.9</v>
      </c>
      <c r="L3">
        <v>3.5169999999999999</v>
      </c>
      <c r="M3">
        <v>17.2</v>
      </c>
      <c r="N3">
        <v>25</v>
      </c>
      <c r="O3" s="2">
        <v>40697</v>
      </c>
      <c r="P3">
        <v>91.370777660000002</v>
      </c>
      <c r="Q3">
        <v>0.70070422535211263</v>
      </c>
    </row>
    <row r="4" spans="1:17" x14ac:dyDescent="0.25">
      <c r="A4" t="s">
        <v>54</v>
      </c>
      <c r="B4" t="s">
        <v>57</v>
      </c>
      <c r="C4">
        <v>8.6</v>
      </c>
      <c r="D4">
        <v>29.7</v>
      </c>
      <c r="E4" t="s">
        <v>13</v>
      </c>
      <c r="F4">
        <v>42</v>
      </c>
      <c r="G4">
        <v>3.5</v>
      </c>
      <c r="H4">
        <v>210</v>
      </c>
      <c r="I4">
        <v>114.6</v>
      </c>
      <c r="J4">
        <v>71.400000000000006</v>
      </c>
      <c r="K4">
        <v>196.6</v>
      </c>
      <c r="L4">
        <v>3.85</v>
      </c>
      <c r="M4">
        <v>18</v>
      </c>
      <c r="N4">
        <v>22</v>
      </c>
      <c r="O4" s="2">
        <v>40612</v>
      </c>
      <c r="P4">
        <v>91.389779329999996</v>
      </c>
      <c r="Q4">
        <v>0.70714285714285707</v>
      </c>
    </row>
    <row r="5" spans="1:17" x14ac:dyDescent="0.25">
      <c r="A5" t="s">
        <v>58</v>
      </c>
      <c r="B5" t="s">
        <v>59</v>
      </c>
      <c r="C5">
        <v>20.399999999999999</v>
      </c>
      <c r="D5">
        <v>22.3</v>
      </c>
      <c r="E5" t="s">
        <v>13</v>
      </c>
      <c r="F5">
        <v>23.99</v>
      </c>
      <c r="G5">
        <v>1.8</v>
      </c>
      <c r="H5">
        <v>150</v>
      </c>
      <c r="I5">
        <v>102.6</v>
      </c>
      <c r="J5">
        <v>68.2</v>
      </c>
      <c r="K5">
        <v>178</v>
      </c>
      <c r="L5">
        <v>2.9980000000000002</v>
      </c>
      <c r="M5">
        <v>16.399999999999999</v>
      </c>
      <c r="N5">
        <v>27</v>
      </c>
      <c r="O5" s="2">
        <v>40824</v>
      </c>
      <c r="P5">
        <v>62.777639200000003</v>
      </c>
      <c r="Q5">
        <v>0.92955398082534402</v>
      </c>
    </row>
    <row r="6" spans="1:17" x14ac:dyDescent="0.25">
      <c r="A6" t="s">
        <v>58</v>
      </c>
      <c r="B6" t="s">
        <v>60</v>
      </c>
      <c r="C6">
        <v>18.8</v>
      </c>
      <c r="D6">
        <v>23.6</v>
      </c>
      <c r="E6" t="s">
        <v>13</v>
      </c>
      <c r="F6">
        <v>33.950000000000003</v>
      </c>
      <c r="G6">
        <v>2.8</v>
      </c>
      <c r="H6">
        <v>200</v>
      </c>
      <c r="I6">
        <v>108.7</v>
      </c>
      <c r="J6">
        <v>76.099999999999994</v>
      </c>
      <c r="K6">
        <v>192</v>
      </c>
      <c r="L6">
        <v>3.5609999999999999</v>
      </c>
      <c r="M6">
        <v>18.5</v>
      </c>
      <c r="N6">
        <v>22</v>
      </c>
      <c r="O6" s="2">
        <v>40764</v>
      </c>
      <c r="P6">
        <v>84.565105020000004</v>
      </c>
      <c r="Q6">
        <v>0.69513991163475697</v>
      </c>
    </row>
    <row r="7" spans="1:17" x14ac:dyDescent="0.25">
      <c r="A7" t="s">
        <v>58</v>
      </c>
      <c r="B7" t="s">
        <v>61</v>
      </c>
      <c r="C7">
        <v>1.4</v>
      </c>
      <c r="D7">
        <v>39</v>
      </c>
      <c r="E7" t="s">
        <v>13</v>
      </c>
      <c r="F7">
        <v>62</v>
      </c>
      <c r="G7">
        <v>4.2</v>
      </c>
      <c r="H7">
        <v>310</v>
      </c>
      <c r="I7">
        <v>113</v>
      </c>
      <c r="J7">
        <v>74</v>
      </c>
      <c r="K7">
        <v>198.2</v>
      </c>
      <c r="L7">
        <v>3.9020000000000001</v>
      </c>
      <c r="M7">
        <v>23.7</v>
      </c>
      <c r="N7">
        <v>21</v>
      </c>
      <c r="O7" s="2">
        <v>40966</v>
      </c>
      <c r="P7">
        <v>134.65685819999999</v>
      </c>
      <c r="Q7">
        <v>0.62903225806451613</v>
      </c>
    </row>
    <row r="8" spans="1:17" x14ac:dyDescent="0.25">
      <c r="A8" t="s">
        <v>62</v>
      </c>
      <c r="B8" t="s">
        <v>63</v>
      </c>
      <c r="C8">
        <v>19.7</v>
      </c>
      <c r="D8">
        <v>18.7</v>
      </c>
      <c r="E8" t="s">
        <v>13</v>
      </c>
      <c r="F8">
        <v>26.99</v>
      </c>
      <c r="G8">
        <v>2.5</v>
      </c>
      <c r="H8">
        <v>170</v>
      </c>
      <c r="I8">
        <v>107.3</v>
      </c>
      <c r="J8">
        <v>68.400000000000006</v>
      </c>
      <c r="K8">
        <v>176</v>
      </c>
      <c r="L8">
        <v>3.1789999999999998</v>
      </c>
      <c r="M8">
        <v>16.600000000000001</v>
      </c>
      <c r="N8">
        <v>26</v>
      </c>
      <c r="O8" s="2">
        <v>40722</v>
      </c>
      <c r="P8">
        <v>71.191206710000003</v>
      </c>
      <c r="Q8">
        <v>0.69284920340866984</v>
      </c>
    </row>
    <row r="9" spans="1:17" x14ac:dyDescent="0.25">
      <c r="A9" t="s">
        <v>62</v>
      </c>
      <c r="B9" t="s">
        <v>64</v>
      </c>
      <c r="C9">
        <v>9.1999999999999993</v>
      </c>
      <c r="D9">
        <v>28.7</v>
      </c>
      <c r="E9" t="s">
        <v>13</v>
      </c>
      <c r="F9">
        <v>33.4</v>
      </c>
      <c r="G9">
        <v>2.8</v>
      </c>
      <c r="H9">
        <v>193</v>
      </c>
      <c r="I9">
        <v>107.3</v>
      </c>
      <c r="J9">
        <v>68.5</v>
      </c>
      <c r="K9">
        <v>176</v>
      </c>
      <c r="L9">
        <v>3.1970000000000001</v>
      </c>
      <c r="M9">
        <v>16.600000000000001</v>
      </c>
      <c r="N9">
        <v>24</v>
      </c>
      <c r="O9" s="2">
        <v>40937</v>
      </c>
      <c r="P9">
        <v>81.877068559999998</v>
      </c>
      <c r="Q9">
        <v>0.85928143712574856</v>
      </c>
    </row>
    <row r="10" spans="1:17" x14ac:dyDescent="0.25">
      <c r="A10" t="s">
        <v>62</v>
      </c>
      <c r="B10" t="s">
        <v>65</v>
      </c>
      <c r="C10">
        <v>17.5</v>
      </c>
      <c r="D10">
        <v>36.1</v>
      </c>
      <c r="E10" t="s">
        <v>13</v>
      </c>
      <c r="F10">
        <v>38.9</v>
      </c>
      <c r="G10">
        <v>2.8</v>
      </c>
      <c r="H10">
        <v>193</v>
      </c>
      <c r="I10">
        <v>111.4</v>
      </c>
      <c r="J10">
        <v>70.900000000000006</v>
      </c>
      <c r="K10">
        <v>188</v>
      </c>
      <c r="L10">
        <v>3.472</v>
      </c>
      <c r="M10">
        <v>18.5</v>
      </c>
      <c r="N10">
        <v>25</v>
      </c>
      <c r="O10" s="2">
        <v>40637</v>
      </c>
      <c r="P10">
        <v>83.998723799999993</v>
      </c>
      <c r="Q10">
        <v>0.92802056555269929</v>
      </c>
    </row>
    <row r="11" spans="1:17" x14ac:dyDescent="0.25">
      <c r="A11" t="s">
        <v>10</v>
      </c>
      <c r="B11" t="s">
        <v>66</v>
      </c>
      <c r="C11">
        <v>91.6</v>
      </c>
      <c r="D11">
        <v>12.5</v>
      </c>
      <c r="E11" t="s">
        <v>13</v>
      </c>
      <c r="F11">
        <v>21.98</v>
      </c>
      <c r="G11">
        <v>3.1</v>
      </c>
      <c r="H11">
        <v>175</v>
      </c>
      <c r="I11">
        <v>109</v>
      </c>
      <c r="J11">
        <v>72.7</v>
      </c>
      <c r="K11">
        <v>194.6</v>
      </c>
      <c r="L11">
        <v>3.3679999999999999</v>
      </c>
      <c r="M11">
        <v>17.5</v>
      </c>
      <c r="N11">
        <v>25</v>
      </c>
      <c r="O11" s="2">
        <v>40849</v>
      </c>
      <c r="P11">
        <v>71.181451319999994</v>
      </c>
      <c r="Q11">
        <v>0.56869881710646042</v>
      </c>
    </row>
    <row r="12" spans="1:17" x14ac:dyDescent="0.25">
      <c r="A12" t="s">
        <v>10</v>
      </c>
      <c r="B12" t="s">
        <v>67</v>
      </c>
      <c r="C12">
        <v>39.4</v>
      </c>
      <c r="D12">
        <v>13.7</v>
      </c>
      <c r="E12" t="s">
        <v>13</v>
      </c>
      <c r="F12">
        <v>25.3</v>
      </c>
      <c r="G12">
        <v>3.8</v>
      </c>
      <c r="H12">
        <v>240</v>
      </c>
      <c r="I12">
        <v>109</v>
      </c>
      <c r="J12">
        <v>72.7</v>
      </c>
      <c r="K12">
        <v>196.2</v>
      </c>
      <c r="L12">
        <v>3.5430000000000001</v>
      </c>
      <c r="M12">
        <v>17.5</v>
      </c>
      <c r="N12">
        <v>23</v>
      </c>
      <c r="O12" s="2">
        <v>40789</v>
      </c>
      <c r="P12">
        <v>95.636702529999994</v>
      </c>
      <c r="Q12">
        <v>0.54150197628458496</v>
      </c>
    </row>
    <row r="13" spans="1:17" x14ac:dyDescent="0.25">
      <c r="A13" t="s">
        <v>10</v>
      </c>
      <c r="B13" t="s">
        <v>68</v>
      </c>
      <c r="C13">
        <v>27.9</v>
      </c>
      <c r="D13">
        <v>20.2</v>
      </c>
      <c r="E13" t="s">
        <v>13</v>
      </c>
      <c r="F13">
        <v>31.97</v>
      </c>
      <c r="G13">
        <v>3.8</v>
      </c>
      <c r="H13">
        <v>205</v>
      </c>
      <c r="I13">
        <v>113.8</v>
      </c>
      <c r="J13">
        <v>74.7</v>
      </c>
      <c r="K13">
        <v>206.8</v>
      </c>
      <c r="L13">
        <v>3.778</v>
      </c>
      <c r="M13">
        <v>18.5</v>
      </c>
      <c r="N13">
        <v>24</v>
      </c>
      <c r="O13" s="2">
        <v>40991</v>
      </c>
      <c r="P13">
        <v>85.828408249999995</v>
      </c>
      <c r="Q13">
        <v>0.63184235220519236</v>
      </c>
    </row>
    <row r="14" spans="1:17" x14ac:dyDescent="0.25">
      <c r="A14" t="s">
        <v>10</v>
      </c>
      <c r="B14" t="s">
        <v>69</v>
      </c>
      <c r="C14">
        <v>83.3</v>
      </c>
      <c r="D14">
        <v>13.4</v>
      </c>
      <c r="E14" t="s">
        <v>13</v>
      </c>
      <c r="F14">
        <v>27.89</v>
      </c>
      <c r="G14">
        <v>3.8</v>
      </c>
      <c r="H14">
        <v>205</v>
      </c>
      <c r="I14">
        <v>112.2</v>
      </c>
      <c r="J14">
        <v>73.5</v>
      </c>
      <c r="K14">
        <v>200</v>
      </c>
      <c r="L14">
        <v>3.5910000000000002</v>
      </c>
      <c r="M14">
        <v>17.5</v>
      </c>
      <c r="N14">
        <v>25</v>
      </c>
      <c r="O14" s="2">
        <v>40747</v>
      </c>
      <c r="P14">
        <v>84.254525810000004</v>
      </c>
      <c r="Q14">
        <v>0.48045894585873072</v>
      </c>
    </row>
    <row r="15" spans="1:17" x14ac:dyDescent="0.25">
      <c r="A15" t="s">
        <v>70</v>
      </c>
      <c r="B15" t="s">
        <v>71</v>
      </c>
      <c r="C15">
        <v>63.7</v>
      </c>
      <c r="D15">
        <v>22.5</v>
      </c>
      <c r="E15" t="s">
        <v>13</v>
      </c>
      <c r="F15">
        <v>39.9</v>
      </c>
      <c r="G15">
        <v>4.5999999999999996</v>
      </c>
      <c r="H15">
        <v>275</v>
      </c>
      <c r="I15">
        <v>115.3</v>
      </c>
      <c r="J15">
        <v>74.5</v>
      </c>
      <c r="K15">
        <v>207.2</v>
      </c>
      <c r="L15">
        <v>3.9780000000000002</v>
      </c>
      <c r="M15">
        <v>18.5</v>
      </c>
      <c r="N15">
        <v>22</v>
      </c>
      <c r="O15" s="2">
        <v>40962</v>
      </c>
      <c r="P15">
        <v>113.85459760000001</v>
      </c>
      <c r="Q15">
        <v>0.56390977443609025</v>
      </c>
    </row>
    <row r="16" spans="1:17" x14ac:dyDescent="0.25">
      <c r="A16" t="s">
        <v>70</v>
      </c>
      <c r="B16" t="s">
        <v>72</v>
      </c>
      <c r="C16">
        <v>6.5</v>
      </c>
      <c r="D16">
        <v>25.7</v>
      </c>
      <c r="E16" t="s">
        <v>13</v>
      </c>
      <c r="F16">
        <v>39.67</v>
      </c>
      <c r="G16">
        <v>4.5999999999999996</v>
      </c>
      <c r="H16">
        <v>275</v>
      </c>
      <c r="I16">
        <v>108</v>
      </c>
      <c r="J16">
        <v>75.5</v>
      </c>
      <c r="K16">
        <v>200.6</v>
      </c>
      <c r="L16">
        <v>3.843</v>
      </c>
      <c r="M16">
        <v>19</v>
      </c>
      <c r="N16">
        <v>22</v>
      </c>
      <c r="O16" s="2">
        <v>40874</v>
      </c>
      <c r="P16">
        <v>113.7658739</v>
      </c>
      <c r="Q16">
        <v>0.64784471893118223</v>
      </c>
    </row>
    <row r="17" spans="1:17" x14ac:dyDescent="0.25">
      <c r="A17" t="s">
        <v>70</v>
      </c>
      <c r="B17" t="s">
        <v>73</v>
      </c>
      <c r="C17">
        <v>11.2</v>
      </c>
      <c r="D17">
        <v>18.2</v>
      </c>
      <c r="E17" t="s">
        <v>13</v>
      </c>
      <c r="F17">
        <v>31.01</v>
      </c>
      <c r="G17">
        <v>3</v>
      </c>
      <c r="H17">
        <v>200</v>
      </c>
      <c r="I17">
        <v>107.4</v>
      </c>
      <c r="J17">
        <v>70.3</v>
      </c>
      <c r="K17">
        <v>194.8</v>
      </c>
      <c r="L17">
        <v>3.77</v>
      </c>
      <c r="M17">
        <v>18</v>
      </c>
      <c r="N17">
        <v>22</v>
      </c>
      <c r="O17" s="2">
        <v>40814</v>
      </c>
      <c r="P17">
        <v>83.483093580000002</v>
      </c>
      <c r="Q17">
        <v>0.58690744920993221</v>
      </c>
    </row>
    <row r="18" spans="1:17" x14ac:dyDescent="0.25">
      <c r="A18" t="s">
        <v>70</v>
      </c>
      <c r="B18" t="s">
        <v>74</v>
      </c>
      <c r="C18">
        <v>14.8</v>
      </c>
      <c r="D18">
        <v>18.7</v>
      </c>
      <c r="E18" t="s">
        <v>11</v>
      </c>
      <c r="F18">
        <v>46.23</v>
      </c>
      <c r="G18">
        <v>5.7</v>
      </c>
      <c r="H18">
        <v>255</v>
      </c>
      <c r="I18">
        <v>117.5</v>
      </c>
      <c r="J18">
        <v>77</v>
      </c>
      <c r="K18">
        <v>201.2</v>
      </c>
      <c r="L18">
        <v>5.5720000000000001</v>
      </c>
      <c r="M18">
        <v>30</v>
      </c>
      <c r="N18">
        <v>15</v>
      </c>
      <c r="O18" s="2">
        <v>41016</v>
      </c>
      <c r="P18">
        <v>109.5091165</v>
      </c>
      <c r="Q18">
        <v>0.40449924291585548</v>
      </c>
    </row>
    <row r="19" spans="1:17" x14ac:dyDescent="0.25">
      <c r="A19" t="s">
        <v>12</v>
      </c>
      <c r="B19" t="s">
        <v>75</v>
      </c>
      <c r="C19">
        <v>145.5</v>
      </c>
      <c r="D19">
        <v>9.3000000000000007</v>
      </c>
      <c r="E19" t="s">
        <v>13</v>
      </c>
      <c r="F19">
        <v>13.26</v>
      </c>
      <c r="G19">
        <v>2.2000000000000002</v>
      </c>
      <c r="H19">
        <v>115</v>
      </c>
      <c r="I19">
        <v>104.1</v>
      </c>
      <c r="J19">
        <v>67.900000000000006</v>
      </c>
      <c r="K19">
        <v>180.9</v>
      </c>
      <c r="L19">
        <v>2.6760000000000002</v>
      </c>
      <c r="M19">
        <v>14.3</v>
      </c>
      <c r="N19">
        <v>27</v>
      </c>
      <c r="O19" s="2">
        <v>40772</v>
      </c>
      <c r="P19">
        <v>46.363347470000001</v>
      </c>
      <c r="Q19">
        <v>0.70135746606334848</v>
      </c>
    </row>
    <row r="20" spans="1:17" x14ac:dyDescent="0.25">
      <c r="A20" t="s">
        <v>12</v>
      </c>
      <c r="B20" t="s">
        <v>76</v>
      </c>
      <c r="C20">
        <v>135.1</v>
      </c>
      <c r="D20">
        <v>11.2</v>
      </c>
      <c r="E20" t="s">
        <v>13</v>
      </c>
      <c r="F20">
        <v>16.54</v>
      </c>
      <c r="G20">
        <v>3.1</v>
      </c>
      <c r="H20">
        <v>170</v>
      </c>
      <c r="I20">
        <v>107</v>
      </c>
      <c r="J20">
        <v>69.400000000000006</v>
      </c>
      <c r="K20">
        <v>190.4</v>
      </c>
      <c r="L20">
        <v>3.0510000000000002</v>
      </c>
      <c r="M20">
        <v>15</v>
      </c>
      <c r="N20">
        <v>25</v>
      </c>
      <c r="O20" s="2">
        <v>40987</v>
      </c>
      <c r="P20">
        <v>67.314462160000005</v>
      </c>
      <c r="Q20">
        <v>0.67714631197097941</v>
      </c>
    </row>
    <row r="21" spans="1:17" x14ac:dyDescent="0.25">
      <c r="A21" t="s">
        <v>12</v>
      </c>
      <c r="B21" t="s">
        <v>77</v>
      </c>
      <c r="C21">
        <v>24.6</v>
      </c>
      <c r="D21">
        <v>10.3</v>
      </c>
      <c r="E21" t="s">
        <v>13</v>
      </c>
      <c r="F21">
        <v>18.89</v>
      </c>
      <c r="G21">
        <v>3.1</v>
      </c>
      <c r="H21">
        <v>175</v>
      </c>
      <c r="I21">
        <v>107.5</v>
      </c>
      <c r="J21">
        <v>72.5</v>
      </c>
      <c r="K21">
        <v>200.9</v>
      </c>
      <c r="L21">
        <v>3.33</v>
      </c>
      <c r="M21">
        <v>16.600000000000001</v>
      </c>
      <c r="N21">
        <v>25</v>
      </c>
      <c r="O21" s="2">
        <v>40687</v>
      </c>
      <c r="P21">
        <v>69.991395600000004</v>
      </c>
      <c r="Q21">
        <v>0.54526204340921125</v>
      </c>
    </row>
    <row r="22" spans="1:17" x14ac:dyDescent="0.25">
      <c r="A22" t="s">
        <v>12</v>
      </c>
      <c r="B22" t="s">
        <v>78</v>
      </c>
      <c r="C22">
        <v>42.6</v>
      </c>
      <c r="D22">
        <v>11.5</v>
      </c>
      <c r="E22" t="s">
        <v>13</v>
      </c>
      <c r="F22">
        <v>19.39</v>
      </c>
      <c r="G22">
        <v>3.4</v>
      </c>
      <c r="H22">
        <v>180</v>
      </c>
      <c r="I22">
        <v>110.5</v>
      </c>
      <c r="J22">
        <v>72.7</v>
      </c>
      <c r="K22">
        <v>197.9</v>
      </c>
      <c r="L22">
        <v>3.34</v>
      </c>
      <c r="M22">
        <v>17</v>
      </c>
      <c r="N22">
        <v>27</v>
      </c>
      <c r="O22" s="2">
        <v>40899</v>
      </c>
      <c r="P22">
        <v>72.030917189999997</v>
      </c>
      <c r="Q22">
        <v>0.59308922124806596</v>
      </c>
    </row>
    <row r="23" spans="1:17" x14ac:dyDescent="0.25">
      <c r="A23" t="s">
        <v>12</v>
      </c>
      <c r="B23" t="s">
        <v>79</v>
      </c>
      <c r="C23">
        <v>26.4</v>
      </c>
      <c r="D23">
        <v>13</v>
      </c>
      <c r="E23" t="s">
        <v>13</v>
      </c>
      <c r="F23">
        <v>24.34</v>
      </c>
      <c r="G23">
        <v>3.8</v>
      </c>
      <c r="H23">
        <v>200</v>
      </c>
      <c r="I23">
        <v>101.1</v>
      </c>
      <c r="J23">
        <v>74.099999999999994</v>
      </c>
      <c r="K23">
        <v>193.2</v>
      </c>
      <c r="L23">
        <v>3.5</v>
      </c>
      <c r="M23">
        <v>16.8</v>
      </c>
      <c r="N23">
        <v>25</v>
      </c>
      <c r="O23" s="2">
        <v>40839</v>
      </c>
      <c r="P23">
        <v>81.118543329999994</v>
      </c>
      <c r="Q23">
        <v>0.53410024650780608</v>
      </c>
    </row>
    <row r="24" spans="1:17" x14ac:dyDescent="0.25">
      <c r="A24" t="s">
        <v>12</v>
      </c>
      <c r="B24" t="s">
        <v>80</v>
      </c>
      <c r="C24">
        <v>17.899999999999999</v>
      </c>
      <c r="D24">
        <v>36.200000000000003</v>
      </c>
      <c r="E24" t="s">
        <v>13</v>
      </c>
      <c r="F24">
        <v>45.71</v>
      </c>
      <c r="G24">
        <v>5.7</v>
      </c>
      <c r="H24">
        <v>345</v>
      </c>
      <c r="I24">
        <v>104.5</v>
      </c>
      <c r="J24">
        <v>73.599999999999994</v>
      </c>
      <c r="K24">
        <v>179.7</v>
      </c>
      <c r="L24">
        <v>3.21</v>
      </c>
      <c r="M24">
        <v>19.100000000000001</v>
      </c>
      <c r="N24">
        <v>22</v>
      </c>
      <c r="O24" s="2">
        <v>41041</v>
      </c>
      <c r="P24">
        <v>141.14115000000001</v>
      </c>
      <c r="Q24">
        <v>0.79194924524174148</v>
      </c>
    </row>
    <row r="25" spans="1:17" x14ac:dyDescent="0.25">
      <c r="A25" t="s">
        <v>12</v>
      </c>
      <c r="B25" t="s">
        <v>81</v>
      </c>
      <c r="C25">
        <v>32.299999999999997</v>
      </c>
      <c r="D25">
        <v>9.1</v>
      </c>
      <c r="E25" t="s">
        <v>13</v>
      </c>
      <c r="F25">
        <v>13.96</v>
      </c>
      <c r="G25">
        <v>1.8</v>
      </c>
      <c r="H25">
        <v>120</v>
      </c>
      <c r="I25">
        <v>97.1</v>
      </c>
      <c r="J25">
        <v>66.7</v>
      </c>
      <c r="K25">
        <v>174.3</v>
      </c>
      <c r="L25">
        <v>2.3980000000000001</v>
      </c>
      <c r="M25">
        <v>13.2</v>
      </c>
      <c r="N25">
        <v>33</v>
      </c>
      <c r="O25" s="2">
        <v>40797</v>
      </c>
      <c r="P25">
        <v>48.297636099999998</v>
      </c>
      <c r="Q25">
        <v>0.65186246418338101</v>
      </c>
    </row>
    <row r="26" spans="1:17" x14ac:dyDescent="0.25">
      <c r="A26" t="s">
        <v>12</v>
      </c>
      <c r="B26" t="s">
        <v>82</v>
      </c>
      <c r="C26">
        <v>21.9</v>
      </c>
      <c r="D26">
        <v>5.2</v>
      </c>
      <c r="E26" t="s">
        <v>13</v>
      </c>
      <c r="F26">
        <v>9.24</v>
      </c>
      <c r="G26">
        <v>1</v>
      </c>
      <c r="H26">
        <v>55</v>
      </c>
      <c r="I26">
        <v>93.1</v>
      </c>
      <c r="J26">
        <v>62.6</v>
      </c>
      <c r="K26">
        <v>149.4</v>
      </c>
      <c r="L26">
        <v>1.895</v>
      </c>
      <c r="M26">
        <v>10.3</v>
      </c>
      <c r="N26">
        <v>45</v>
      </c>
      <c r="O26" s="2">
        <v>41012</v>
      </c>
      <c r="P26">
        <v>23.276272330000001</v>
      </c>
      <c r="Q26">
        <v>0.56277056277056281</v>
      </c>
    </row>
    <row r="27" spans="1:17" x14ac:dyDescent="0.25">
      <c r="A27" t="s">
        <v>12</v>
      </c>
      <c r="B27" t="s">
        <v>83</v>
      </c>
      <c r="C27">
        <v>108</v>
      </c>
      <c r="D27">
        <v>18.7</v>
      </c>
      <c r="E27" t="s">
        <v>13</v>
      </c>
      <c r="F27">
        <v>18.89</v>
      </c>
      <c r="G27">
        <v>3.4</v>
      </c>
      <c r="H27">
        <v>180</v>
      </c>
      <c r="I27">
        <v>110.5</v>
      </c>
      <c r="J27">
        <v>73</v>
      </c>
      <c r="K27">
        <v>200</v>
      </c>
      <c r="L27">
        <v>3.3889999999999998</v>
      </c>
      <c r="M27">
        <v>17</v>
      </c>
      <c r="N27">
        <v>27</v>
      </c>
      <c r="O27" s="2">
        <v>40712</v>
      </c>
      <c r="P27">
        <v>71.838039440000003</v>
      </c>
      <c r="Q27">
        <v>0.98994176813128631</v>
      </c>
    </row>
    <row r="28" spans="1:17" x14ac:dyDescent="0.25">
      <c r="A28" t="s">
        <v>84</v>
      </c>
      <c r="B28" t="s">
        <v>85</v>
      </c>
      <c r="C28">
        <v>7.9</v>
      </c>
      <c r="D28">
        <v>12.4</v>
      </c>
      <c r="E28" t="s">
        <v>13</v>
      </c>
      <c r="F28">
        <v>19.84</v>
      </c>
      <c r="G28">
        <v>2.5</v>
      </c>
      <c r="H28">
        <v>163</v>
      </c>
      <c r="I28">
        <v>103.7</v>
      </c>
      <c r="J28">
        <v>69.7</v>
      </c>
      <c r="K28">
        <v>190.9</v>
      </c>
      <c r="L28">
        <v>2.9670000000000001</v>
      </c>
      <c r="M28">
        <v>15.9</v>
      </c>
      <c r="N28">
        <v>24</v>
      </c>
      <c r="O28" s="2">
        <v>40924</v>
      </c>
      <c r="P28">
        <v>65.957183959999995</v>
      </c>
      <c r="Q28">
        <v>0.625</v>
      </c>
    </row>
    <row r="29" spans="1:17" x14ac:dyDescent="0.25">
      <c r="A29" t="s">
        <v>84</v>
      </c>
      <c r="B29" t="s">
        <v>86</v>
      </c>
      <c r="C29">
        <v>32.799999999999997</v>
      </c>
      <c r="D29">
        <v>14.2</v>
      </c>
      <c r="E29" t="s">
        <v>13</v>
      </c>
      <c r="F29">
        <v>24.5</v>
      </c>
      <c r="G29">
        <v>2.5</v>
      </c>
      <c r="H29">
        <v>168</v>
      </c>
      <c r="I29">
        <v>106</v>
      </c>
      <c r="J29">
        <v>69.2</v>
      </c>
      <c r="K29">
        <v>193</v>
      </c>
      <c r="L29">
        <v>3.3319999999999999</v>
      </c>
      <c r="M29">
        <v>16</v>
      </c>
      <c r="N29">
        <v>24</v>
      </c>
      <c r="O29" s="2">
        <v>40864</v>
      </c>
      <c r="P29">
        <v>69.521355049999997</v>
      </c>
      <c r="Q29">
        <v>0.57959183673469383</v>
      </c>
    </row>
    <row r="30" spans="1:17" x14ac:dyDescent="0.25">
      <c r="A30" t="s">
        <v>84</v>
      </c>
      <c r="B30" t="s">
        <v>87</v>
      </c>
      <c r="C30">
        <v>31.1</v>
      </c>
      <c r="D30">
        <v>13.7</v>
      </c>
      <c r="E30" t="s">
        <v>13</v>
      </c>
      <c r="F30">
        <v>22.25</v>
      </c>
      <c r="G30">
        <v>2.7</v>
      </c>
      <c r="H30">
        <v>200</v>
      </c>
      <c r="I30">
        <v>113</v>
      </c>
      <c r="J30">
        <v>74.400000000000006</v>
      </c>
      <c r="K30">
        <v>209.1</v>
      </c>
      <c r="L30">
        <v>3.452</v>
      </c>
      <c r="M30">
        <v>17</v>
      </c>
      <c r="N30">
        <v>26</v>
      </c>
      <c r="O30" s="2">
        <v>41066</v>
      </c>
      <c r="P30">
        <v>80.02378204</v>
      </c>
      <c r="Q30">
        <v>0.61573033707865166</v>
      </c>
    </row>
    <row r="31" spans="1:17" x14ac:dyDescent="0.25">
      <c r="A31" t="s">
        <v>84</v>
      </c>
      <c r="B31" t="s">
        <v>88</v>
      </c>
      <c r="C31">
        <v>32.299999999999997</v>
      </c>
      <c r="D31">
        <v>12.6</v>
      </c>
      <c r="E31" t="s">
        <v>13</v>
      </c>
      <c r="F31">
        <v>16.48</v>
      </c>
      <c r="G31">
        <v>2</v>
      </c>
      <c r="H31">
        <v>132</v>
      </c>
      <c r="I31">
        <v>108</v>
      </c>
      <c r="J31">
        <v>71</v>
      </c>
      <c r="K31">
        <v>186</v>
      </c>
      <c r="L31">
        <v>2.911</v>
      </c>
      <c r="M31">
        <v>16</v>
      </c>
      <c r="N31">
        <v>27</v>
      </c>
      <c r="O31" s="2">
        <v>40822</v>
      </c>
      <c r="P31">
        <v>53.566199869999998</v>
      </c>
      <c r="Q31">
        <v>0.7645631067961165</v>
      </c>
    </row>
    <row r="32" spans="1:17" x14ac:dyDescent="0.25">
      <c r="A32" t="s">
        <v>84</v>
      </c>
      <c r="B32" t="s">
        <v>89</v>
      </c>
      <c r="C32">
        <v>13.5</v>
      </c>
      <c r="D32">
        <v>17.3</v>
      </c>
      <c r="E32" t="s">
        <v>13</v>
      </c>
      <c r="F32">
        <v>28.34</v>
      </c>
      <c r="G32">
        <v>3.5</v>
      </c>
      <c r="H32">
        <v>253</v>
      </c>
      <c r="I32">
        <v>113</v>
      </c>
      <c r="J32">
        <v>74.400000000000006</v>
      </c>
      <c r="K32">
        <v>207.7</v>
      </c>
      <c r="L32">
        <v>3.5640000000000001</v>
      </c>
      <c r="M32">
        <v>17</v>
      </c>
      <c r="N32">
        <v>23</v>
      </c>
      <c r="O32" s="2">
        <v>41037</v>
      </c>
      <c r="P32">
        <v>101.3292807</v>
      </c>
      <c r="Q32">
        <v>0.61044460127028932</v>
      </c>
    </row>
    <row r="33" spans="1:17" x14ac:dyDescent="0.25">
      <c r="A33" t="s">
        <v>84</v>
      </c>
      <c r="B33" t="s">
        <v>90</v>
      </c>
      <c r="C33">
        <v>30.7</v>
      </c>
      <c r="D33">
        <v>18.7</v>
      </c>
      <c r="E33" t="s">
        <v>13</v>
      </c>
      <c r="F33">
        <v>29.19</v>
      </c>
      <c r="G33">
        <v>3.5</v>
      </c>
      <c r="H33">
        <v>253</v>
      </c>
      <c r="I33">
        <v>113</v>
      </c>
      <c r="J33">
        <v>74.400000000000006</v>
      </c>
      <c r="K33">
        <v>197.8</v>
      </c>
      <c r="L33">
        <v>3.5670000000000002</v>
      </c>
      <c r="M33">
        <v>17</v>
      </c>
      <c r="N33">
        <v>23</v>
      </c>
      <c r="O33" s="2">
        <v>40949</v>
      </c>
      <c r="P33">
        <v>101.6552441</v>
      </c>
      <c r="Q33">
        <v>0.64063035286056869</v>
      </c>
    </row>
    <row r="34" spans="1:17" x14ac:dyDescent="0.25">
      <c r="A34" t="s">
        <v>15</v>
      </c>
      <c r="B34" t="s">
        <v>91</v>
      </c>
      <c r="C34">
        <v>76</v>
      </c>
      <c r="D34">
        <v>7.8</v>
      </c>
      <c r="E34" t="s">
        <v>13</v>
      </c>
      <c r="F34">
        <v>12.64</v>
      </c>
      <c r="G34">
        <v>2</v>
      </c>
      <c r="H34">
        <v>132</v>
      </c>
      <c r="I34">
        <v>105</v>
      </c>
      <c r="J34">
        <v>74.400000000000006</v>
      </c>
      <c r="K34">
        <v>174.4</v>
      </c>
      <c r="L34">
        <v>2.5670000000000002</v>
      </c>
      <c r="M34">
        <v>12.5</v>
      </c>
      <c r="N34">
        <v>29</v>
      </c>
      <c r="O34" s="2">
        <v>40889</v>
      </c>
      <c r="P34">
        <v>52.084898750000001</v>
      </c>
      <c r="Q34">
        <v>0.61708860759493667</v>
      </c>
    </row>
    <row r="35" spans="1:17" x14ac:dyDescent="0.25">
      <c r="A35" t="s">
        <v>15</v>
      </c>
      <c r="B35" t="s">
        <v>92</v>
      </c>
      <c r="C35">
        <v>4.7</v>
      </c>
      <c r="D35">
        <v>12.5</v>
      </c>
      <c r="E35" t="s">
        <v>13</v>
      </c>
      <c r="F35">
        <v>19.05</v>
      </c>
      <c r="G35">
        <v>2.5</v>
      </c>
      <c r="H35">
        <v>163</v>
      </c>
      <c r="I35">
        <v>103.7</v>
      </c>
      <c r="J35">
        <v>69.099999999999994</v>
      </c>
      <c r="K35">
        <v>190.2</v>
      </c>
      <c r="L35">
        <v>2.879</v>
      </c>
      <c r="M35">
        <v>15.9</v>
      </c>
      <c r="N35">
        <v>24</v>
      </c>
      <c r="O35" s="2">
        <v>41091</v>
      </c>
      <c r="P35">
        <v>65.650508340000002</v>
      </c>
      <c r="Q35">
        <v>0.65616797900262469</v>
      </c>
    </row>
    <row r="36" spans="1:17" x14ac:dyDescent="0.25">
      <c r="A36" t="s">
        <v>15</v>
      </c>
      <c r="B36" t="s">
        <v>93</v>
      </c>
      <c r="C36">
        <v>71.2</v>
      </c>
      <c r="D36">
        <v>10.199999999999999</v>
      </c>
      <c r="E36" t="s">
        <v>13</v>
      </c>
      <c r="F36">
        <v>20.23</v>
      </c>
      <c r="G36">
        <v>2.5</v>
      </c>
      <c r="H36">
        <v>168</v>
      </c>
      <c r="I36">
        <v>108</v>
      </c>
      <c r="J36">
        <v>71</v>
      </c>
      <c r="K36">
        <v>186</v>
      </c>
      <c r="L36">
        <v>3.0579999999999998</v>
      </c>
      <c r="M36">
        <v>16</v>
      </c>
      <c r="N36">
        <v>24</v>
      </c>
      <c r="O36" s="2">
        <v>40847</v>
      </c>
      <c r="P36">
        <v>67.876107840000003</v>
      </c>
      <c r="Q36">
        <v>0.50420168067226889</v>
      </c>
    </row>
    <row r="37" spans="1:17" x14ac:dyDescent="0.25">
      <c r="A37" t="s">
        <v>15</v>
      </c>
      <c r="B37" t="s">
        <v>94</v>
      </c>
      <c r="C37">
        <v>0.9</v>
      </c>
      <c r="D37">
        <v>58.5</v>
      </c>
      <c r="E37" t="s">
        <v>13</v>
      </c>
      <c r="F37">
        <v>69.73</v>
      </c>
      <c r="G37">
        <v>8</v>
      </c>
      <c r="H37">
        <v>450</v>
      </c>
      <c r="I37">
        <v>96.2</v>
      </c>
      <c r="J37">
        <v>75.7</v>
      </c>
      <c r="K37">
        <v>176.7</v>
      </c>
      <c r="L37">
        <v>3.375</v>
      </c>
      <c r="M37">
        <v>19</v>
      </c>
      <c r="N37">
        <v>16</v>
      </c>
      <c r="O37" s="2">
        <v>40762</v>
      </c>
      <c r="P37">
        <v>188.14432300000001</v>
      </c>
      <c r="Q37">
        <v>0.83895023662698975</v>
      </c>
    </row>
    <row r="38" spans="1:17" x14ac:dyDescent="0.25">
      <c r="A38" t="s">
        <v>15</v>
      </c>
      <c r="B38" t="s">
        <v>34</v>
      </c>
      <c r="C38">
        <v>227.1</v>
      </c>
      <c r="D38">
        <v>15.1</v>
      </c>
      <c r="E38" t="s">
        <v>11</v>
      </c>
      <c r="F38">
        <v>19.46</v>
      </c>
      <c r="G38">
        <v>5.2</v>
      </c>
      <c r="H38">
        <v>230</v>
      </c>
      <c r="I38">
        <v>138.69999999999999</v>
      </c>
      <c r="J38">
        <v>79.3</v>
      </c>
      <c r="K38">
        <v>224.2</v>
      </c>
      <c r="L38">
        <v>4.47</v>
      </c>
      <c r="M38">
        <v>26</v>
      </c>
      <c r="N38">
        <v>17</v>
      </c>
      <c r="O38" s="2">
        <v>40974</v>
      </c>
      <c r="P38">
        <v>90.211700050000005</v>
      </c>
      <c r="Q38">
        <v>0.77595066803699897</v>
      </c>
    </row>
    <row r="39" spans="1:17" x14ac:dyDescent="0.25">
      <c r="A39" t="s">
        <v>15</v>
      </c>
      <c r="B39" t="s">
        <v>95</v>
      </c>
      <c r="C39">
        <v>16.8</v>
      </c>
      <c r="D39">
        <v>15.5</v>
      </c>
      <c r="E39" t="s">
        <v>11</v>
      </c>
      <c r="F39">
        <v>21.32</v>
      </c>
      <c r="G39">
        <v>3.9</v>
      </c>
      <c r="H39">
        <v>175</v>
      </c>
      <c r="I39">
        <v>109.6</v>
      </c>
      <c r="J39">
        <v>78.8</v>
      </c>
      <c r="K39">
        <v>192.6</v>
      </c>
      <c r="L39">
        <v>4.2450000000000001</v>
      </c>
      <c r="M39">
        <v>32</v>
      </c>
      <c r="N39">
        <v>15</v>
      </c>
      <c r="O39" s="2">
        <v>40914</v>
      </c>
      <c r="P39">
        <v>71.135291609999996</v>
      </c>
      <c r="Q39">
        <v>0.72701688555347088</v>
      </c>
    </row>
    <row r="40" spans="1:17" x14ac:dyDescent="0.25">
      <c r="A40" t="s">
        <v>15</v>
      </c>
      <c r="B40" t="s">
        <v>96</v>
      </c>
      <c r="C40">
        <v>31</v>
      </c>
      <c r="D40">
        <v>13.4</v>
      </c>
      <c r="E40" t="s">
        <v>11</v>
      </c>
      <c r="F40">
        <v>18.579999999999998</v>
      </c>
      <c r="G40">
        <v>3.9</v>
      </c>
      <c r="H40">
        <v>175</v>
      </c>
      <c r="I40">
        <v>127.2</v>
      </c>
      <c r="J40">
        <v>78.8</v>
      </c>
      <c r="K40">
        <v>208.5</v>
      </c>
      <c r="L40">
        <v>4.298</v>
      </c>
      <c r="M40">
        <v>32</v>
      </c>
      <c r="N40">
        <v>16</v>
      </c>
      <c r="O40" s="2">
        <v>41116</v>
      </c>
      <c r="P40">
        <v>70.078321540000005</v>
      </c>
      <c r="Q40">
        <v>0.72120559741657708</v>
      </c>
    </row>
    <row r="41" spans="1:17" x14ac:dyDescent="0.25">
      <c r="A41" t="s">
        <v>15</v>
      </c>
      <c r="B41" t="s">
        <v>97</v>
      </c>
      <c r="C41">
        <v>111.3</v>
      </c>
      <c r="D41">
        <v>11.3</v>
      </c>
      <c r="E41" t="s">
        <v>11</v>
      </c>
      <c r="F41">
        <v>16.98</v>
      </c>
      <c r="G41">
        <v>2.5</v>
      </c>
      <c r="H41">
        <v>120</v>
      </c>
      <c r="I41">
        <v>131</v>
      </c>
      <c r="J41">
        <v>71.5</v>
      </c>
      <c r="K41">
        <v>215</v>
      </c>
      <c r="L41">
        <v>3.5569999999999999</v>
      </c>
      <c r="M41">
        <v>22</v>
      </c>
      <c r="N41">
        <v>19</v>
      </c>
      <c r="O41" s="2">
        <v>40872</v>
      </c>
      <c r="P41">
        <v>49.64500177</v>
      </c>
      <c r="Q41">
        <v>0.66548881036513552</v>
      </c>
    </row>
    <row r="42" spans="1:17" x14ac:dyDescent="0.25">
      <c r="A42" t="s">
        <v>15</v>
      </c>
      <c r="B42" t="s">
        <v>98</v>
      </c>
      <c r="C42">
        <v>101.3</v>
      </c>
      <c r="D42">
        <v>18.7</v>
      </c>
      <c r="E42" t="s">
        <v>11</v>
      </c>
      <c r="F42">
        <v>26.31</v>
      </c>
      <c r="G42">
        <v>5.2</v>
      </c>
      <c r="H42">
        <v>230</v>
      </c>
      <c r="I42">
        <v>115.7</v>
      </c>
      <c r="J42">
        <v>71.7</v>
      </c>
      <c r="K42">
        <v>193.5</v>
      </c>
      <c r="L42">
        <v>4.3940000000000001</v>
      </c>
      <c r="M42">
        <v>25</v>
      </c>
      <c r="N42">
        <v>17</v>
      </c>
      <c r="O42" s="2">
        <v>41087</v>
      </c>
      <c r="P42">
        <v>92.85412522</v>
      </c>
      <c r="Q42">
        <v>0.71075636640060813</v>
      </c>
    </row>
    <row r="43" spans="1:17" x14ac:dyDescent="0.25">
      <c r="A43" t="s">
        <v>15</v>
      </c>
      <c r="B43" t="s">
        <v>25</v>
      </c>
      <c r="C43">
        <v>181.7</v>
      </c>
      <c r="D43">
        <v>12</v>
      </c>
      <c r="E43" t="s">
        <v>11</v>
      </c>
      <c r="F43">
        <v>19.57</v>
      </c>
      <c r="G43">
        <v>2.4</v>
      </c>
      <c r="H43">
        <v>150</v>
      </c>
      <c r="I43">
        <v>113.3</v>
      </c>
      <c r="J43">
        <v>76.8</v>
      </c>
      <c r="K43">
        <v>186.3</v>
      </c>
      <c r="L43">
        <v>3.5329999999999999</v>
      </c>
      <c r="M43">
        <v>20</v>
      </c>
      <c r="N43">
        <v>24</v>
      </c>
      <c r="O43" s="2">
        <v>40787</v>
      </c>
      <c r="P43">
        <v>61.227000310000001</v>
      </c>
      <c r="Q43">
        <v>0.61318344404701075</v>
      </c>
    </row>
    <row r="44" spans="1:17" x14ac:dyDescent="0.25">
      <c r="A44" t="s">
        <v>5</v>
      </c>
      <c r="B44" t="s">
        <v>99</v>
      </c>
      <c r="C44">
        <v>70.2</v>
      </c>
      <c r="D44">
        <v>7.4</v>
      </c>
      <c r="E44" t="s">
        <v>13</v>
      </c>
      <c r="F44">
        <v>12.07</v>
      </c>
      <c r="G44">
        <v>2</v>
      </c>
      <c r="H44">
        <v>110</v>
      </c>
      <c r="I44">
        <v>98.4</v>
      </c>
      <c r="J44">
        <v>67</v>
      </c>
      <c r="K44">
        <v>174.7</v>
      </c>
      <c r="L44">
        <v>2.468</v>
      </c>
      <c r="M44">
        <v>12.7</v>
      </c>
      <c r="N44">
        <v>30</v>
      </c>
      <c r="O44" s="2">
        <v>40999</v>
      </c>
      <c r="P44">
        <v>44.083709460000001</v>
      </c>
      <c r="Q44">
        <v>0.61309030654515329</v>
      </c>
    </row>
    <row r="45" spans="1:17" x14ac:dyDescent="0.25">
      <c r="A45" t="s">
        <v>5</v>
      </c>
      <c r="B45" t="s">
        <v>100</v>
      </c>
      <c r="C45">
        <v>113.4</v>
      </c>
      <c r="D45">
        <v>12.8</v>
      </c>
      <c r="E45" t="s">
        <v>13</v>
      </c>
      <c r="F45">
        <v>21.56</v>
      </c>
      <c r="G45">
        <v>3.8</v>
      </c>
      <c r="H45">
        <v>190</v>
      </c>
      <c r="I45">
        <v>101.3</v>
      </c>
      <c r="J45">
        <v>73.099999999999994</v>
      </c>
      <c r="K45">
        <v>183.2</v>
      </c>
      <c r="L45">
        <v>3.2029999999999998</v>
      </c>
      <c r="M45">
        <v>15.7</v>
      </c>
      <c r="N45">
        <v>24</v>
      </c>
      <c r="O45" s="2">
        <v>40939</v>
      </c>
      <c r="P45">
        <v>76.509184559999994</v>
      </c>
      <c r="Q45">
        <v>0.59369202226345086</v>
      </c>
    </row>
    <row r="46" spans="1:17" x14ac:dyDescent="0.25">
      <c r="A46" t="s">
        <v>5</v>
      </c>
      <c r="B46" t="s">
        <v>101</v>
      </c>
      <c r="C46">
        <v>35.1</v>
      </c>
      <c r="D46">
        <v>8.8000000000000007</v>
      </c>
      <c r="E46" t="s">
        <v>13</v>
      </c>
      <c r="F46">
        <v>17.04</v>
      </c>
      <c r="G46">
        <v>2.5</v>
      </c>
      <c r="H46">
        <v>170</v>
      </c>
      <c r="I46">
        <v>106.5</v>
      </c>
      <c r="J46">
        <v>69.099999999999994</v>
      </c>
      <c r="K46">
        <v>184.6</v>
      </c>
      <c r="L46">
        <v>2.7690000000000001</v>
      </c>
      <c r="M46">
        <v>15</v>
      </c>
      <c r="N46">
        <v>25</v>
      </c>
      <c r="O46" s="2">
        <v>41141</v>
      </c>
      <c r="P46">
        <v>67.351010720000005</v>
      </c>
      <c r="Q46">
        <v>0.51643192488262912</v>
      </c>
    </row>
    <row r="47" spans="1:17" x14ac:dyDescent="0.25">
      <c r="A47" t="s">
        <v>5</v>
      </c>
      <c r="B47" t="s">
        <v>36</v>
      </c>
      <c r="C47">
        <v>245.8</v>
      </c>
      <c r="D47">
        <v>10.1</v>
      </c>
      <c r="E47" t="s">
        <v>13</v>
      </c>
      <c r="F47">
        <v>17.89</v>
      </c>
      <c r="G47">
        <v>3</v>
      </c>
      <c r="H47">
        <v>155</v>
      </c>
      <c r="I47">
        <v>108.5</v>
      </c>
      <c r="J47">
        <v>73</v>
      </c>
      <c r="K47">
        <v>197.6</v>
      </c>
      <c r="L47">
        <v>3.3679999999999999</v>
      </c>
      <c r="M47">
        <v>16</v>
      </c>
      <c r="N47">
        <v>24</v>
      </c>
      <c r="O47" s="2">
        <v>40897</v>
      </c>
      <c r="P47">
        <v>62.503739500000002</v>
      </c>
      <c r="Q47">
        <v>0.56456120737842364</v>
      </c>
    </row>
    <row r="48" spans="1:17" x14ac:dyDescent="0.25">
      <c r="A48" t="s">
        <v>5</v>
      </c>
      <c r="B48" t="s">
        <v>31</v>
      </c>
      <c r="C48">
        <v>175.7</v>
      </c>
      <c r="D48">
        <v>18.7</v>
      </c>
      <c r="E48" t="s">
        <v>13</v>
      </c>
      <c r="F48">
        <v>12.32</v>
      </c>
      <c r="G48">
        <v>2</v>
      </c>
      <c r="H48">
        <v>107</v>
      </c>
      <c r="I48">
        <v>103</v>
      </c>
      <c r="J48">
        <v>66.900000000000006</v>
      </c>
      <c r="K48">
        <v>174.8</v>
      </c>
      <c r="L48">
        <v>2.5640000000000001</v>
      </c>
      <c r="M48">
        <v>13.2</v>
      </c>
      <c r="N48">
        <v>30</v>
      </c>
      <c r="O48" s="2">
        <v>41112</v>
      </c>
      <c r="P48">
        <v>43.117132009999999</v>
      </c>
      <c r="Q48">
        <v>1.517857142857143</v>
      </c>
    </row>
    <row r="49" spans="1:17" x14ac:dyDescent="0.25">
      <c r="A49" t="s">
        <v>5</v>
      </c>
      <c r="B49" t="s">
        <v>102</v>
      </c>
      <c r="C49">
        <v>63.4</v>
      </c>
      <c r="D49">
        <v>14.2</v>
      </c>
      <c r="E49" t="s">
        <v>13</v>
      </c>
      <c r="F49">
        <v>22.2</v>
      </c>
      <c r="G49">
        <v>4.5999999999999996</v>
      </c>
      <c r="H49">
        <v>200</v>
      </c>
      <c r="I49">
        <v>114.7</v>
      </c>
      <c r="J49">
        <v>78.2</v>
      </c>
      <c r="K49">
        <v>212</v>
      </c>
      <c r="L49">
        <v>3.9079999999999999</v>
      </c>
      <c r="M49">
        <v>19</v>
      </c>
      <c r="N49">
        <v>21</v>
      </c>
      <c r="O49" s="2">
        <v>40812</v>
      </c>
      <c r="P49">
        <v>80.499536710000001</v>
      </c>
      <c r="Q49">
        <v>0.63963963963963966</v>
      </c>
    </row>
    <row r="50" spans="1:17" x14ac:dyDescent="0.25">
      <c r="A50" t="s">
        <v>5</v>
      </c>
      <c r="B50" t="s">
        <v>30</v>
      </c>
      <c r="C50">
        <v>276.7</v>
      </c>
      <c r="D50">
        <v>16.600000000000001</v>
      </c>
      <c r="E50" t="s">
        <v>11</v>
      </c>
      <c r="F50">
        <v>31.93</v>
      </c>
      <c r="G50">
        <v>4</v>
      </c>
      <c r="H50">
        <v>210</v>
      </c>
      <c r="I50">
        <v>111.6</v>
      </c>
      <c r="J50">
        <v>70.2</v>
      </c>
      <c r="K50">
        <v>190.7</v>
      </c>
      <c r="L50">
        <v>3.8759999999999999</v>
      </c>
      <c r="M50">
        <v>21</v>
      </c>
      <c r="N50">
        <v>19</v>
      </c>
      <c r="O50" s="2">
        <v>41024</v>
      </c>
      <c r="P50">
        <v>87.635495779999999</v>
      </c>
      <c r="Q50">
        <v>0.5198872533667398</v>
      </c>
    </row>
    <row r="51" spans="1:17" x14ac:dyDescent="0.25">
      <c r="A51" t="s">
        <v>5</v>
      </c>
      <c r="B51" t="s">
        <v>103</v>
      </c>
      <c r="C51">
        <v>155.80000000000001</v>
      </c>
      <c r="D51">
        <v>13.2</v>
      </c>
      <c r="E51" t="s">
        <v>11</v>
      </c>
      <c r="F51">
        <v>21.41</v>
      </c>
      <c r="G51">
        <v>3</v>
      </c>
      <c r="H51">
        <v>150</v>
      </c>
      <c r="I51">
        <v>120.7</v>
      </c>
      <c r="J51">
        <v>76.599999999999994</v>
      </c>
      <c r="K51">
        <v>200.9</v>
      </c>
      <c r="L51">
        <v>3.7610000000000001</v>
      </c>
      <c r="M51">
        <v>26</v>
      </c>
      <c r="N51">
        <v>21</v>
      </c>
      <c r="O51" s="2">
        <v>40964</v>
      </c>
      <c r="P51">
        <v>62.095048390000002</v>
      </c>
      <c r="Q51">
        <v>0.61653432975245204</v>
      </c>
    </row>
    <row r="52" spans="1:17" x14ac:dyDescent="0.25">
      <c r="A52" t="s">
        <v>5</v>
      </c>
      <c r="B52" t="s">
        <v>104</v>
      </c>
      <c r="C52">
        <v>125.3</v>
      </c>
      <c r="D52">
        <v>23.6</v>
      </c>
      <c r="E52" t="s">
        <v>11</v>
      </c>
      <c r="F52">
        <v>36.14</v>
      </c>
      <c r="G52">
        <v>4.5999999999999996</v>
      </c>
      <c r="H52">
        <v>240</v>
      </c>
      <c r="I52">
        <v>119</v>
      </c>
      <c r="J52">
        <v>78.7</v>
      </c>
      <c r="K52">
        <v>204.6</v>
      </c>
      <c r="L52">
        <v>4.8079999999999998</v>
      </c>
      <c r="M52">
        <v>26</v>
      </c>
      <c r="N52">
        <v>16</v>
      </c>
      <c r="O52" s="2">
        <v>41166</v>
      </c>
      <c r="P52">
        <v>100.0248023</v>
      </c>
      <c r="Q52">
        <v>0.65301604869950192</v>
      </c>
    </row>
    <row r="53" spans="1:17" x14ac:dyDescent="0.25">
      <c r="A53" t="s">
        <v>5</v>
      </c>
      <c r="B53" t="s">
        <v>35</v>
      </c>
      <c r="C53">
        <v>220.7</v>
      </c>
      <c r="D53">
        <v>7.9</v>
      </c>
      <c r="E53" t="s">
        <v>11</v>
      </c>
      <c r="F53">
        <v>12.05</v>
      </c>
      <c r="G53">
        <v>2.5</v>
      </c>
      <c r="H53">
        <v>119</v>
      </c>
      <c r="I53">
        <v>117.5</v>
      </c>
      <c r="J53">
        <v>69.400000000000006</v>
      </c>
      <c r="K53">
        <v>200.7</v>
      </c>
      <c r="L53">
        <v>3.0859999999999999</v>
      </c>
      <c r="M53">
        <v>20</v>
      </c>
      <c r="N53">
        <v>23</v>
      </c>
      <c r="O53" s="2">
        <v>40922</v>
      </c>
      <c r="P53">
        <v>47.389531310000002</v>
      </c>
      <c r="Q53">
        <v>0.65560165975103735</v>
      </c>
    </row>
    <row r="54" spans="1:17" x14ac:dyDescent="0.25">
      <c r="A54" t="s">
        <v>5</v>
      </c>
      <c r="B54" t="s">
        <v>33</v>
      </c>
      <c r="C54">
        <v>540.6</v>
      </c>
      <c r="D54">
        <v>15.1</v>
      </c>
      <c r="E54" t="s">
        <v>11</v>
      </c>
      <c r="F54">
        <v>26.94</v>
      </c>
      <c r="G54">
        <v>4.5999999999999996</v>
      </c>
      <c r="H54">
        <v>220</v>
      </c>
      <c r="I54">
        <v>138.5</v>
      </c>
      <c r="J54">
        <v>79.099999999999994</v>
      </c>
      <c r="K54">
        <v>224.5</v>
      </c>
      <c r="L54">
        <v>4.2409999999999997</v>
      </c>
      <c r="M54">
        <v>25.1</v>
      </c>
      <c r="N54">
        <v>18</v>
      </c>
      <c r="O54" s="2">
        <v>41137</v>
      </c>
      <c r="P54">
        <v>89.401934729999994</v>
      </c>
      <c r="Q54">
        <v>0.56050482553823311</v>
      </c>
    </row>
    <row r="55" spans="1:17" x14ac:dyDescent="0.25">
      <c r="A55" t="s">
        <v>17</v>
      </c>
      <c r="B55" t="s">
        <v>27</v>
      </c>
      <c r="C55">
        <v>199.7</v>
      </c>
      <c r="D55">
        <v>9.9</v>
      </c>
      <c r="E55" t="s">
        <v>13</v>
      </c>
      <c r="F55">
        <v>12.89</v>
      </c>
      <c r="G55">
        <v>1.6</v>
      </c>
      <c r="H55">
        <v>106</v>
      </c>
      <c r="I55">
        <v>103.2</v>
      </c>
      <c r="J55">
        <v>67.099999999999994</v>
      </c>
      <c r="K55">
        <v>175.1</v>
      </c>
      <c r="L55">
        <v>2.339</v>
      </c>
      <c r="M55">
        <v>11.9</v>
      </c>
      <c r="N55">
        <v>32</v>
      </c>
      <c r="O55" s="2">
        <v>40837</v>
      </c>
      <c r="P55">
        <v>42.879097340000001</v>
      </c>
      <c r="Q55">
        <v>0.76803723816912339</v>
      </c>
    </row>
    <row r="56" spans="1:17" x14ac:dyDescent="0.25">
      <c r="A56" t="s">
        <v>17</v>
      </c>
      <c r="B56" t="s">
        <v>20</v>
      </c>
      <c r="C56">
        <v>230.9</v>
      </c>
      <c r="D56">
        <v>13.2</v>
      </c>
      <c r="E56" t="s">
        <v>13</v>
      </c>
      <c r="F56">
        <v>15.35</v>
      </c>
      <c r="G56">
        <v>2.2999999999999998</v>
      </c>
      <c r="H56">
        <v>135</v>
      </c>
      <c r="I56">
        <v>106.9</v>
      </c>
      <c r="J56">
        <v>70.3</v>
      </c>
      <c r="K56">
        <v>188.8</v>
      </c>
      <c r="L56">
        <v>2.9319999999999999</v>
      </c>
      <c r="M56">
        <v>17.100000000000001</v>
      </c>
      <c r="N56">
        <v>27</v>
      </c>
      <c r="O56" s="2">
        <v>41049</v>
      </c>
      <c r="P56">
        <v>54.269548290000003</v>
      </c>
      <c r="Q56">
        <v>0.85993485342019538</v>
      </c>
    </row>
    <row r="57" spans="1:17" x14ac:dyDescent="0.25">
      <c r="A57" t="s">
        <v>17</v>
      </c>
      <c r="B57" t="s">
        <v>105</v>
      </c>
      <c r="C57">
        <v>73.2</v>
      </c>
      <c r="D57">
        <v>17.7</v>
      </c>
      <c r="E57" t="s">
        <v>11</v>
      </c>
      <c r="F57">
        <v>20.55</v>
      </c>
      <c r="G57">
        <v>2</v>
      </c>
      <c r="H57">
        <v>146</v>
      </c>
      <c r="I57">
        <v>103.2</v>
      </c>
      <c r="J57">
        <v>68.900000000000006</v>
      </c>
      <c r="K57">
        <v>177.6</v>
      </c>
      <c r="L57">
        <v>3.2189999999999999</v>
      </c>
      <c r="M57">
        <v>15.3</v>
      </c>
      <c r="N57">
        <v>24</v>
      </c>
      <c r="O57" s="2">
        <v>40989</v>
      </c>
      <c r="P57">
        <v>60.087966620000003</v>
      </c>
      <c r="Q57">
        <v>0.86131386861313863</v>
      </c>
    </row>
    <row r="58" spans="1:17" x14ac:dyDescent="0.25">
      <c r="A58" t="s">
        <v>17</v>
      </c>
      <c r="B58" t="s">
        <v>106</v>
      </c>
      <c r="C58">
        <v>12.9</v>
      </c>
      <c r="D58">
        <v>17.5</v>
      </c>
      <c r="E58" t="s">
        <v>11</v>
      </c>
      <c r="F58">
        <v>26.6</v>
      </c>
      <c r="G58">
        <v>3.2</v>
      </c>
      <c r="H58">
        <v>205</v>
      </c>
      <c r="I58">
        <v>106.4</v>
      </c>
      <c r="J58">
        <v>70.400000000000006</v>
      </c>
      <c r="K58">
        <v>178.2</v>
      </c>
      <c r="L58">
        <v>3.8570000000000002</v>
      </c>
      <c r="M58">
        <v>21.1</v>
      </c>
      <c r="N58">
        <v>19</v>
      </c>
      <c r="O58" s="2">
        <v>41191</v>
      </c>
      <c r="P58">
        <v>83.602500800000001</v>
      </c>
      <c r="Q58">
        <v>0.6578947368421052</v>
      </c>
    </row>
    <row r="59" spans="1:17" x14ac:dyDescent="0.25">
      <c r="A59" t="s">
        <v>17</v>
      </c>
      <c r="B59" t="s">
        <v>107</v>
      </c>
      <c r="C59">
        <v>76</v>
      </c>
      <c r="D59">
        <v>19.5</v>
      </c>
      <c r="E59" t="s">
        <v>11</v>
      </c>
      <c r="F59">
        <v>26</v>
      </c>
      <c r="G59">
        <v>3.5</v>
      </c>
      <c r="H59">
        <v>210</v>
      </c>
      <c r="I59">
        <v>118.1</v>
      </c>
      <c r="J59">
        <v>75.599999999999994</v>
      </c>
      <c r="K59">
        <v>201.2</v>
      </c>
      <c r="L59">
        <v>4.2880000000000003</v>
      </c>
      <c r="M59">
        <v>20</v>
      </c>
      <c r="N59">
        <v>23</v>
      </c>
      <c r="O59" s="2">
        <v>40947</v>
      </c>
      <c r="P59">
        <v>85.217691340000002</v>
      </c>
      <c r="Q59">
        <v>0.75</v>
      </c>
    </row>
    <row r="60" spans="1:17" x14ac:dyDescent="0.25">
      <c r="A60" t="s">
        <v>108</v>
      </c>
      <c r="B60" t="s">
        <v>109</v>
      </c>
      <c r="C60">
        <v>41.2</v>
      </c>
      <c r="D60">
        <v>5.9</v>
      </c>
      <c r="E60" t="s">
        <v>13</v>
      </c>
      <c r="F60">
        <v>9.6999999999999993</v>
      </c>
      <c r="G60">
        <v>1.5</v>
      </c>
      <c r="H60">
        <v>92</v>
      </c>
      <c r="I60">
        <v>96.1</v>
      </c>
      <c r="J60">
        <v>65.7</v>
      </c>
      <c r="K60">
        <v>166.7</v>
      </c>
      <c r="L60">
        <v>2.2400000000000002</v>
      </c>
      <c r="M60">
        <v>11.9</v>
      </c>
      <c r="N60">
        <v>31</v>
      </c>
      <c r="O60" s="2">
        <v>41162</v>
      </c>
      <c r="P60">
        <v>36.672283579999998</v>
      </c>
      <c r="Q60">
        <v>0.60824742268041243</v>
      </c>
    </row>
    <row r="61" spans="1:17" x14ac:dyDescent="0.25">
      <c r="A61" t="s">
        <v>108</v>
      </c>
      <c r="B61" t="s">
        <v>110</v>
      </c>
      <c r="C61">
        <v>66.7</v>
      </c>
      <c r="D61">
        <v>7.8</v>
      </c>
      <c r="E61" t="s">
        <v>13</v>
      </c>
      <c r="F61">
        <v>11.8</v>
      </c>
      <c r="G61">
        <v>2</v>
      </c>
      <c r="H61">
        <v>140</v>
      </c>
      <c r="I61">
        <v>100.4</v>
      </c>
      <c r="J61">
        <v>66.900000000000006</v>
      </c>
      <c r="K61">
        <v>174</v>
      </c>
      <c r="L61">
        <v>2.6259999999999999</v>
      </c>
      <c r="M61">
        <v>14.5</v>
      </c>
      <c r="N61">
        <v>27</v>
      </c>
      <c r="O61" s="2">
        <v>40862</v>
      </c>
      <c r="P61">
        <v>54.590045160000003</v>
      </c>
      <c r="Q61">
        <v>0.66101694915254228</v>
      </c>
    </row>
    <row r="62" spans="1:17" x14ac:dyDescent="0.25">
      <c r="A62" t="s">
        <v>108</v>
      </c>
      <c r="B62" t="s">
        <v>111</v>
      </c>
      <c r="C62">
        <v>29.5</v>
      </c>
      <c r="D62">
        <v>8.9</v>
      </c>
      <c r="E62" t="s">
        <v>13</v>
      </c>
      <c r="F62">
        <v>15</v>
      </c>
      <c r="G62">
        <v>2.4</v>
      </c>
      <c r="H62">
        <v>148</v>
      </c>
      <c r="I62">
        <v>106.3</v>
      </c>
      <c r="J62">
        <v>71.599999999999994</v>
      </c>
      <c r="K62">
        <v>185.4</v>
      </c>
      <c r="L62">
        <v>3.0720000000000001</v>
      </c>
      <c r="M62">
        <v>17.2</v>
      </c>
      <c r="N62">
        <v>25</v>
      </c>
      <c r="O62" s="2">
        <v>41074</v>
      </c>
      <c r="P62">
        <v>58.758248999999999</v>
      </c>
      <c r="Q62">
        <v>0.59333333333333338</v>
      </c>
    </row>
    <row r="63" spans="1:17" x14ac:dyDescent="0.25">
      <c r="A63" t="s">
        <v>112</v>
      </c>
      <c r="B63" t="s">
        <v>113</v>
      </c>
      <c r="C63">
        <v>23.7</v>
      </c>
      <c r="D63">
        <v>19.7</v>
      </c>
      <c r="E63" t="s">
        <v>13</v>
      </c>
      <c r="F63">
        <v>29.47</v>
      </c>
      <c r="G63">
        <v>3</v>
      </c>
      <c r="H63">
        <v>227</v>
      </c>
      <c r="I63">
        <v>108.3</v>
      </c>
      <c r="J63">
        <v>70.2</v>
      </c>
      <c r="K63">
        <v>193.7</v>
      </c>
      <c r="L63">
        <v>3.3420000000000001</v>
      </c>
      <c r="M63">
        <v>18.5</v>
      </c>
      <c r="N63">
        <v>25</v>
      </c>
      <c r="O63" s="2">
        <v>41014</v>
      </c>
      <c r="P63">
        <v>92.436889230000006</v>
      </c>
      <c r="Q63">
        <v>0.66847641669494406</v>
      </c>
    </row>
    <row r="64" spans="1:17" x14ac:dyDescent="0.25">
      <c r="A64" t="s">
        <v>114</v>
      </c>
      <c r="B64" t="s">
        <v>115</v>
      </c>
      <c r="C64">
        <v>15.5</v>
      </c>
      <c r="D64">
        <v>18.7</v>
      </c>
      <c r="E64" t="s">
        <v>13</v>
      </c>
      <c r="F64">
        <v>42.8</v>
      </c>
      <c r="G64">
        <v>3</v>
      </c>
      <c r="H64">
        <v>240</v>
      </c>
      <c r="I64">
        <v>114.5</v>
      </c>
      <c r="J64">
        <v>71.599999999999994</v>
      </c>
      <c r="K64">
        <v>191.3</v>
      </c>
      <c r="L64">
        <v>3.65</v>
      </c>
      <c r="M64">
        <v>18.399999999999999</v>
      </c>
      <c r="N64">
        <v>21</v>
      </c>
      <c r="O64" s="2">
        <v>41216</v>
      </c>
      <c r="P64">
        <v>102.17898479999999</v>
      </c>
      <c r="Q64">
        <v>0.43691588785046731</v>
      </c>
    </row>
    <row r="65" spans="1:17" x14ac:dyDescent="0.25">
      <c r="A65" t="s">
        <v>18</v>
      </c>
      <c r="B65" t="s">
        <v>116</v>
      </c>
      <c r="C65">
        <v>55.6</v>
      </c>
      <c r="D65">
        <v>13.5</v>
      </c>
      <c r="E65" t="s">
        <v>11</v>
      </c>
      <c r="F65">
        <v>14.46</v>
      </c>
      <c r="G65">
        <v>2.5</v>
      </c>
      <c r="H65">
        <v>120</v>
      </c>
      <c r="I65">
        <v>93.4</v>
      </c>
      <c r="J65">
        <v>66.7</v>
      </c>
      <c r="K65">
        <v>152</v>
      </c>
      <c r="L65">
        <v>3.0449999999999999</v>
      </c>
      <c r="M65">
        <v>19</v>
      </c>
      <c r="N65">
        <v>17</v>
      </c>
      <c r="O65" s="2">
        <v>40972</v>
      </c>
      <c r="P65">
        <v>48.672897910000003</v>
      </c>
      <c r="Q65">
        <v>0.93360995850622397</v>
      </c>
    </row>
    <row r="66" spans="1:17" x14ac:dyDescent="0.25">
      <c r="A66" t="s">
        <v>18</v>
      </c>
      <c r="B66" t="s">
        <v>117</v>
      </c>
      <c r="C66">
        <v>80.599999999999994</v>
      </c>
      <c r="D66">
        <v>13.8</v>
      </c>
      <c r="E66" t="s">
        <v>11</v>
      </c>
      <c r="F66">
        <v>21.62</v>
      </c>
      <c r="G66">
        <v>4</v>
      </c>
      <c r="H66">
        <v>190</v>
      </c>
      <c r="I66">
        <v>101.4</v>
      </c>
      <c r="J66">
        <v>69.400000000000006</v>
      </c>
      <c r="K66">
        <v>167.5</v>
      </c>
      <c r="L66">
        <v>3.194</v>
      </c>
      <c r="M66">
        <v>20</v>
      </c>
      <c r="N66">
        <v>20</v>
      </c>
      <c r="O66" s="2">
        <v>41187</v>
      </c>
      <c r="P66">
        <v>76.584439619999998</v>
      </c>
      <c r="Q66">
        <v>0.63829787234042556</v>
      </c>
    </row>
    <row r="67" spans="1:17" x14ac:dyDescent="0.25">
      <c r="A67" t="s">
        <v>18</v>
      </c>
      <c r="B67" t="s">
        <v>118</v>
      </c>
      <c r="C67">
        <v>157</v>
      </c>
      <c r="D67">
        <v>18.8</v>
      </c>
      <c r="E67" t="s">
        <v>11</v>
      </c>
      <c r="F67">
        <v>26.9</v>
      </c>
      <c r="G67">
        <v>4</v>
      </c>
      <c r="H67">
        <v>195</v>
      </c>
      <c r="I67">
        <v>105.9</v>
      </c>
      <c r="J67">
        <v>72.3</v>
      </c>
      <c r="K67">
        <v>181.5</v>
      </c>
      <c r="L67">
        <v>3.88</v>
      </c>
      <c r="M67">
        <v>20.5</v>
      </c>
      <c r="N67">
        <v>19</v>
      </c>
      <c r="O67" s="2">
        <v>40887</v>
      </c>
      <c r="P67">
        <v>80.387779120000005</v>
      </c>
      <c r="Q67">
        <v>0.6988847583643123</v>
      </c>
    </row>
    <row r="68" spans="1:17" x14ac:dyDescent="0.25">
      <c r="A68" t="s">
        <v>119</v>
      </c>
      <c r="B68" t="s">
        <v>120</v>
      </c>
      <c r="C68">
        <v>24.1</v>
      </c>
      <c r="D68">
        <v>27</v>
      </c>
      <c r="E68" t="s">
        <v>13</v>
      </c>
      <c r="F68">
        <v>31.51</v>
      </c>
      <c r="G68">
        <v>3</v>
      </c>
      <c r="H68">
        <v>210</v>
      </c>
      <c r="I68">
        <v>105.1</v>
      </c>
      <c r="J68">
        <v>70.5</v>
      </c>
      <c r="K68">
        <v>190.2</v>
      </c>
      <c r="L68">
        <v>3.3730000000000002</v>
      </c>
      <c r="M68">
        <v>18.5</v>
      </c>
      <c r="N68">
        <v>23</v>
      </c>
      <c r="O68" s="2">
        <v>41099</v>
      </c>
      <c r="P68">
        <v>87.211001039999999</v>
      </c>
      <c r="Q68">
        <v>0.85687083465566483</v>
      </c>
    </row>
    <row r="69" spans="1:17" x14ac:dyDescent="0.25">
      <c r="A69" t="s">
        <v>119</v>
      </c>
      <c r="B69" t="s">
        <v>121</v>
      </c>
      <c r="C69">
        <v>12.7</v>
      </c>
      <c r="D69">
        <v>32.1</v>
      </c>
      <c r="E69" t="s">
        <v>13</v>
      </c>
      <c r="F69">
        <v>37.81</v>
      </c>
      <c r="G69">
        <v>3</v>
      </c>
      <c r="H69">
        <v>225</v>
      </c>
      <c r="I69">
        <v>110.2</v>
      </c>
      <c r="J69">
        <v>70.900000000000006</v>
      </c>
      <c r="K69">
        <v>189.2</v>
      </c>
      <c r="L69">
        <v>3.6379999999999999</v>
      </c>
      <c r="M69">
        <v>19.8</v>
      </c>
      <c r="N69">
        <v>23</v>
      </c>
      <c r="O69" s="2">
        <v>41039</v>
      </c>
      <c r="P69">
        <v>94.946698400000002</v>
      </c>
      <c r="Q69">
        <v>0.84898175085956096</v>
      </c>
    </row>
    <row r="70" spans="1:17" x14ac:dyDescent="0.25">
      <c r="A70" t="s">
        <v>119</v>
      </c>
      <c r="B70" t="s">
        <v>122</v>
      </c>
      <c r="C70">
        <v>3.3</v>
      </c>
      <c r="D70">
        <v>18.7</v>
      </c>
      <c r="E70" t="s">
        <v>13</v>
      </c>
      <c r="F70">
        <v>46.31</v>
      </c>
      <c r="G70">
        <v>4</v>
      </c>
      <c r="H70">
        <v>300</v>
      </c>
      <c r="I70">
        <v>110.2</v>
      </c>
      <c r="J70">
        <v>70.900000000000006</v>
      </c>
      <c r="K70">
        <v>189.2</v>
      </c>
      <c r="L70">
        <v>3.6930000000000001</v>
      </c>
      <c r="M70">
        <v>19.8</v>
      </c>
      <c r="N70">
        <v>21</v>
      </c>
      <c r="O70" s="2">
        <v>41241</v>
      </c>
      <c r="P70">
        <v>125.0133574</v>
      </c>
      <c r="Q70">
        <v>0.40380047505938238</v>
      </c>
    </row>
    <row r="71" spans="1:17" x14ac:dyDescent="0.25">
      <c r="A71" t="s">
        <v>119</v>
      </c>
      <c r="B71" t="s">
        <v>123</v>
      </c>
      <c r="C71">
        <v>6.4</v>
      </c>
      <c r="D71">
        <v>40.4</v>
      </c>
      <c r="E71" t="s">
        <v>13</v>
      </c>
      <c r="F71">
        <v>54.01</v>
      </c>
      <c r="G71">
        <v>4</v>
      </c>
      <c r="H71">
        <v>290</v>
      </c>
      <c r="I71">
        <v>112.2</v>
      </c>
      <c r="J71">
        <v>72</v>
      </c>
      <c r="K71">
        <v>196.7</v>
      </c>
      <c r="L71">
        <v>3.89</v>
      </c>
      <c r="M71">
        <v>22.5</v>
      </c>
      <c r="N71">
        <v>22</v>
      </c>
      <c r="O71" s="2">
        <v>40997</v>
      </c>
      <c r="P71">
        <v>124.44671630000001</v>
      </c>
      <c r="Q71">
        <v>0.74800962784669511</v>
      </c>
    </row>
    <row r="72" spans="1:17" x14ac:dyDescent="0.25">
      <c r="A72" t="s">
        <v>119</v>
      </c>
      <c r="B72" t="s">
        <v>124</v>
      </c>
      <c r="C72">
        <v>9.1</v>
      </c>
      <c r="D72">
        <v>18.7</v>
      </c>
      <c r="E72" t="s">
        <v>11</v>
      </c>
      <c r="F72">
        <v>60.11</v>
      </c>
      <c r="G72">
        <v>4.7</v>
      </c>
      <c r="H72">
        <v>230</v>
      </c>
      <c r="I72">
        <v>112.2</v>
      </c>
      <c r="J72">
        <v>76.400000000000006</v>
      </c>
      <c r="K72">
        <v>192.5</v>
      </c>
      <c r="L72">
        <v>5.4009999999999998</v>
      </c>
      <c r="M72">
        <v>25.4</v>
      </c>
      <c r="N72">
        <v>15</v>
      </c>
      <c r="O72" s="2">
        <v>41212</v>
      </c>
      <c r="P72">
        <v>105.760458</v>
      </c>
      <c r="Q72">
        <v>0.31109632340708698</v>
      </c>
    </row>
    <row r="73" spans="1:17" x14ac:dyDescent="0.25">
      <c r="A73" t="s">
        <v>119</v>
      </c>
      <c r="B73" t="s">
        <v>125</v>
      </c>
      <c r="C73">
        <v>51.2</v>
      </c>
      <c r="D73">
        <v>18.7</v>
      </c>
      <c r="E73" t="s">
        <v>11</v>
      </c>
      <c r="F73">
        <v>34.61</v>
      </c>
      <c r="G73">
        <v>3</v>
      </c>
      <c r="H73">
        <v>220</v>
      </c>
      <c r="I73">
        <v>103</v>
      </c>
      <c r="J73">
        <v>71.5</v>
      </c>
      <c r="K73">
        <v>180.1</v>
      </c>
      <c r="L73">
        <v>3.9</v>
      </c>
      <c r="M73">
        <v>17.2</v>
      </c>
      <c r="N73">
        <v>21</v>
      </c>
      <c r="O73" s="2">
        <v>40912</v>
      </c>
      <c r="P73">
        <v>91.943801559999997</v>
      </c>
      <c r="Q73">
        <v>0.54030626986420105</v>
      </c>
    </row>
    <row r="74" spans="1:17" x14ac:dyDescent="0.25">
      <c r="A74" t="s">
        <v>126</v>
      </c>
      <c r="B74" t="s">
        <v>127</v>
      </c>
      <c r="C74">
        <v>13.8</v>
      </c>
      <c r="D74">
        <v>20.5</v>
      </c>
      <c r="E74" t="s">
        <v>13</v>
      </c>
      <c r="F74">
        <v>39.08</v>
      </c>
      <c r="G74">
        <v>4.5999999999999996</v>
      </c>
      <c r="H74">
        <v>275</v>
      </c>
      <c r="I74">
        <v>109</v>
      </c>
      <c r="J74">
        <v>73.599999999999994</v>
      </c>
      <c r="K74">
        <v>208.5</v>
      </c>
      <c r="L74">
        <v>3.8679999999999999</v>
      </c>
      <c r="M74">
        <v>20</v>
      </c>
      <c r="N74">
        <v>22</v>
      </c>
      <c r="O74" s="2">
        <v>41124</v>
      </c>
      <c r="P74">
        <v>113.5402069</v>
      </c>
      <c r="Q74">
        <v>0.5245649948822928</v>
      </c>
    </row>
    <row r="75" spans="1:17" x14ac:dyDescent="0.25">
      <c r="A75" t="s">
        <v>126</v>
      </c>
      <c r="B75" t="s">
        <v>128</v>
      </c>
      <c r="C75">
        <v>48.9</v>
      </c>
      <c r="D75">
        <v>21.7</v>
      </c>
      <c r="E75" t="s">
        <v>13</v>
      </c>
      <c r="F75">
        <v>43.33</v>
      </c>
      <c r="G75">
        <v>4.5999999999999996</v>
      </c>
      <c r="H75">
        <v>215</v>
      </c>
      <c r="I75">
        <v>117.7</v>
      </c>
      <c r="J75">
        <v>78.2</v>
      </c>
      <c r="K75">
        <v>215.3</v>
      </c>
      <c r="L75">
        <v>4.1210000000000004</v>
      </c>
      <c r="M75">
        <v>19</v>
      </c>
      <c r="N75">
        <v>21</v>
      </c>
      <c r="O75" s="2">
        <v>41064</v>
      </c>
      <c r="P75">
        <v>93.957916900000001</v>
      </c>
      <c r="Q75">
        <v>0.50080775444264947</v>
      </c>
    </row>
    <row r="76" spans="1:17" x14ac:dyDescent="0.25">
      <c r="A76" t="s">
        <v>126</v>
      </c>
      <c r="B76" t="s">
        <v>129</v>
      </c>
      <c r="C76">
        <v>22.9</v>
      </c>
      <c r="D76">
        <v>18.7</v>
      </c>
      <c r="E76" t="s">
        <v>11</v>
      </c>
      <c r="F76">
        <v>42.66</v>
      </c>
      <c r="G76">
        <v>5.4</v>
      </c>
      <c r="H76">
        <v>300</v>
      </c>
      <c r="I76">
        <v>119</v>
      </c>
      <c r="J76">
        <v>79.900000000000006</v>
      </c>
      <c r="K76">
        <v>204.8</v>
      </c>
      <c r="L76">
        <v>5.3929999999999998</v>
      </c>
      <c r="M76">
        <v>30</v>
      </c>
      <c r="N76">
        <v>15</v>
      </c>
      <c r="O76" s="2">
        <v>41266</v>
      </c>
      <c r="P76">
        <v>123.97204670000001</v>
      </c>
      <c r="Q76">
        <v>0.43834974214721051</v>
      </c>
    </row>
    <row r="77" spans="1:17" x14ac:dyDescent="0.25">
      <c r="A77" t="s">
        <v>24</v>
      </c>
      <c r="B77" t="s">
        <v>130</v>
      </c>
      <c r="C77">
        <v>26.2</v>
      </c>
      <c r="D77">
        <v>8.3000000000000007</v>
      </c>
      <c r="E77" t="s">
        <v>13</v>
      </c>
      <c r="F77">
        <v>13.99</v>
      </c>
      <c r="G77">
        <v>1.8</v>
      </c>
      <c r="H77">
        <v>113</v>
      </c>
      <c r="I77">
        <v>98.4</v>
      </c>
      <c r="J77">
        <v>66.5</v>
      </c>
      <c r="K77">
        <v>173.6</v>
      </c>
      <c r="L77">
        <v>2.25</v>
      </c>
      <c r="M77">
        <v>13.2</v>
      </c>
      <c r="N77">
        <v>30</v>
      </c>
      <c r="O77" s="2">
        <v>41022</v>
      </c>
      <c r="P77">
        <v>45.832180559999998</v>
      </c>
      <c r="Q77">
        <v>0.5932809149392424</v>
      </c>
    </row>
    <row r="78" spans="1:17" x14ac:dyDescent="0.25">
      <c r="A78" t="s">
        <v>24</v>
      </c>
      <c r="B78" t="s">
        <v>131</v>
      </c>
      <c r="C78">
        <v>42.5</v>
      </c>
      <c r="D78">
        <v>10.4</v>
      </c>
      <c r="E78" t="s">
        <v>13</v>
      </c>
      <c r="F78">
        <v>19.05</v>
      </c>
      <c r="G78">
        <v>2.4</v>
      </c>
      <c r="H78">
        <v>154</v>
      </c>
      <c r="I78">
        <v>100.8</v>
      </c>
      <c r="J78">
        <v>68.900000000000006</v>
      </c>
      <c r="K78">
        <v>175.4</v>
      </c>
      <c r="L78">
        <v>2.91</v>
      </c>
      <c r="M78">
        <v>15.9</v>
      </c>
      <c r="N78">
        <v>24</v>
      </c>
      <c r="O78" s="2">
        <v>41237</v>
      </c>
      <c r="P78">
        <v>62.441962349999997</v>
      </c>
      <c r="Q78">
        <v>0.54593175853018372</v>
      </c>
    </row>
    <row r="79" spans="1:17" x14ac:dyDescent="0.25">
      <c r="A79" t="s">
        <v>24</v>
      </c>
      <c r="B79" t="s">
        <v>132</v>
      </c>
      <c r="C79">
        <v>55.6</v>
      </c>
      <c r="D79">
        <v>10.6</v>
      </c>
      <c r="E79" t="s">
        <v>13</v>
      </c>
      <c r="F79">
        <v>17.36</v>
      </c>
      <c r="G79">
        <v>2.4</v>
      </c>
      <c r="H79">
        <v>145</v>
      </c>
      <c r="I79">
        <v>103.7</v>
      </c>
      <c r="J79">
        <v>68.5</v>
      </c>
      <c r="K79">
        <v>187.8</v>
      </c>
      <c r="L79">
        <v>2.9449999999999998</v>
      </c>
      <c r="M79">
        <v>16.3</v>
      </c>
      <c r="N79">
        <v>25</v>
      </c>
      <c r="O79" s="2">
        <v>40937</v>
      </c>
      <c r="P79">
        <v>58.606772919999997</v>
      </c>
      <c r="Q79">
        <v>0.61059907834101379</v>
      </c>
    </row>
    <row r="80" spans="1:17" x14ac:dyDescent="0.25">
      <c r="A80" t="s">
        <v>24</v>
      </c>
      <c r="B80" t="s">
        <v>133</v>
      </c>
      <c r="C80">
        <v>5.7</v>
      </c>
      <c r="D80">
        <v>16.600000000000001</v>
      </c>
      <c r="E80" t="s">
        <v>13</v>
      </c>
      <c r="F80">
        <v>25</v>
      </c>
      <c r="G80">
        <v>3.5</v>
      </c>
      <c r="H80">
        <v>210</v>
      </c>
      <c r="I80">
        <v>107.1</v>
      </c>
      <c r="J80">
        <v>70.3</v>
      </c>
      <c r="K80">
        <v>194.1</v>
      </c>
      <c r="L80">
        <v>3.4430000000000001</v>
      </c>
      <c r="M80">
        <v>19</v>
      </c>
      <c r="N80">
        <v>22</v>
      </c>
      <c r="O80" s="2">
        <v>41149</v>
      </c>
      <c r="P80">
        <v>84.83077858</v>
      </c>
      <c r="Q80">
        <v>0.66400000000000003</v>
      </c>
    </row>
    <row r="81" spans="1:17" x14ac:dyDescent="0.25">
      <c r="A81" t="s">
        <v>24</v>
      </c>
      <c r="B81" t="s">
        <v>134</v>
      </c>
      <c r="C81">
        <v>0.1</v>
      </c>
      <c r="D81">
        <v>20.9</v>
      </c>
      <c r="E81" t="s">
        <v>13</v>
      </c>
      <c r="F81">
        <v>25.45</v>
      </c>
      <c r="G81">
        <v>3</v>
      </c>
      <c r="H81">
        <v>161</v>
      </c>
      <c r="I81">
        <v>97.2</v>
      </c>
      <c r="J81">
        <v>72.400000000000006</v>
      </c>
      <c r="K81">
        <v>180.3</v>
      </c>
      <c r="L81">
        <v>3.1309999999999998</v>
      </c>
      <c r="M81">
        <v>19.8</v>
      </c>
      <c r="N81">
        <v>21</v>
      </c>
      <c r="O81" s="2">
        <v>41089</v>
      </c>
      <c r="P81">
        <v>67.544154939999999</v>
      </c>
      <c r="Q81">
        <v>0.82121807465618857</v>
      </c>
    </row>
    <row r="82" spans="1:17" x14ac:dyDescent="0.25">
      <c r="A82" t="s">
        <v>24</v>
      </c>
      <c r="B82" t="s">
        <v>135</v>
      </c>
      <c r="C82">
        <v>11.3</v>
      </c>
      <c r="D82">
        <v>19.100000000000001</v>
      </c>
      <c r="E82" t="s">
        <v>11</v>
      </c>
      <c r="F82">
        <v>31.81</v>
      </c>
      <c r="G82">
        <v>3.5</v>
      </c>
      <c r="H82">
        <v>200</v>
      </c>
      <c r="I82">
        <v>107.3</v>
      </c>
      <c r="J82">
        <v>69.900000000000006</v>
      </c>
      <c r="K82">
        <v>186.6</v>
      </c>
      <c r="L82">
        <v>4.5199999999999996</v>
      </c>
      <c r="M82">
        <v>24.3</v>
      </c>
      <c r="N82">
        <v>18</v>
      </c>
      <c r="O82" s="2">
        <v>40925</v>
      </c>
      <c r="P82">
        <v>83.920815039999994</v>
      </c>
      <c r="Q82">
        <v>0.60044011317195856</v>
      </c>
    </row>
    <row r="83" spans="1:17" x14ac:dyDescent="0.25">
      <c r="A83" t="s">
        <v>24</v>
      </c>
      <c r="B83" t="s">
        <v>136</v>
      </c>
      <c r="C83">
        <v>39.299999999999997</v>
      </c>
      <c r="D83">
        <v>13.9</v>
      </c>
      <c r="E83" t="s">
        <v>11</v>
      </c>
      <c r="F83">
        <v>22.53</v>
      </c>
      <c r="G83">
        <v>3</v>
      </c>
      <c r="H83">
        <v>173</v>
      </c>
      <c r="I83">
        <v>107.3</v>
      </c>
      <c r="J83">
        <v>66.7</v>
      </c>
      <c r="K83">
        <v>178.3</v>
      </c>
      <c r="L83">
        <v>3.51</v>
      </c>
      <c r="M83">
        <v>19.5</v>
      </c>
      <c r="N83">
        <v>20</v>
      </c>
      <c r="O83" s="2">
        <v>41047</v>
      </c>
      <c r="P83">
        <v>70.660941789999995</v>
      </c>
      <c r="Q83">
        <v>0.61695517088326679</v>
      </c>
    </row>
    <row r="84" spans="1:17" x14ac:dyDescent="0.25">
      <c r="A84" t="s">
        <v>21</v>
      </c>
      <c r="B84" t="s">
        <v>137</v>
      </c>
      <c r="C84">
        <v>14.4</v>
      </c>
      <c r="D84">
        <v>8.8000000000000007</v>
      </c>
      <c r="E84" t="s">
        <v>13</v>
      </c>
      <c r="F84">
        <v>16.239999999999998</v>
      </c>
      <c r="G84">
        <v>2</v>
      </c>
      <c r="H84">
        <v>125</v>
      </c>
      <c r="I84">
        <v>106.5</v>
      </c>
      <c r="J84">
        <v>69.099999999999994</v>
      </c>
      <c r="K84">
        <v>184.8</v>
      </c>
      <c r="L84">
        <v>2.7690000000000001</v>
      </c>
      <c r="M84">
        <v>15</v>
      </c>
      <c r="N84">
        <v>28</v>
      </c>
      <c r="O84" s="2">
        <v>41262</v>
      </c>
      <c r="P84">
        <v>50.997747609999998</v>
      </c>
      <c r="Q84">
        <v>0.54187192118226613</v>
      </c>
    </row>
    <row r="85" spans="1:17" x14ac:dyDescent="0.25">
      <c r="A85" t="s">
        <v>21</v>
      </c>
      <c r="B85" t="s">
        <v>138</v>
      </c>
      <c r="C85">
        <v>26.5</v>
      </c>
      <c r="D85">
        <v>13.9</v>
      </c>
      <c r="E85" t="s">
        <v>13</v>
      </c>
      <c r="F85">
        <v>16.54</v>
      </c>
      <c r="G85">
        <v>2</v>
      </c>
      <c r="H85">
        <v>125</v>
      </c>
      <c r="I85">
        <v>106.4</v>
      </c>
      <c r="J85">
        <v>69.599999999999994</v>
      </c>
      <c r="K85">
        <v>185</v>
      </c>
      <c r="L85">
        <v>2.8919999999999999</v>
      </c>
      <c r="M85">
        <v>16</v>
      </c>
      <c r="N85">
        <v>30</v>
      </c>
      <c r="O85" s="2">
        <v>40962</v>
      </c>
      <c r="P85">
        <v>51.113474259999997</v>
      </c>
      <c r="Q85">
        <v>0.84038694074969778</v>
      </c>
    </row>
    <row r="86" spans="1:17" x14ac:dyDescent="0.25">
      <c r="A86" t="s">
        <v>21</v>
      </c>
      <c r="B86" t="s">
        <v>139</v>
      </c>
      <c r="C86">
        <v>68</v>
      </c>
      <c r="D86">
        <v>11</v>
      </c>
      <c r="E86" t="s">
        <v>13</v>
      </c>
      <c r="F86">
        <v>19.04</v>
      </c>
      <c r="G86">
        <v>3</v>
      </c>
      <c r="H86">
        <v>153</v>
      </c>
      <c r="I86">
        <v>108.5</v>
      </c>
      <c r="J86">
        <v>73</v>
      </c>
      <c r="K86">
        <v>199.7</v>
      </c>
      <c r="L86">
        <v>3.379</v>
      </c>
      <c r="M86">
        <v>16</v>
      </c>
      <c r="N86">
        <v>24</v>
      </c>
      <c r="O86" s="2">
        <v>41174</v>
      </c>
      <c r="P86">
        <v>62.239966629999998</v>
      </c>
      <c r="Q86">
        <v>0.57773109243697485</v>
      </c>
    </row>
    <row r="87" spans="1:17" x14ac:dyDescent="0.25">
      <c r="A87" t="s">
        <v>21</v>
      </c>
      <c r="B87" t="s">
        <v>140</v>
      </c>
      <c r="C87">
        <v>81.2</v>
      </c>
      <c r="D87">
        <v>14.9</v>
      </c>
      <c r="E87" t="s">
        <v>13</v>
      </c>
      <c r="F87">
        <v>22.61</v>
      </c>
      <c r="G87">
        <v>4.5999999999999996</v>
      </c>
      <c r="H87">
        <v>200</v>
      </c>
      <c r="I87">
        <v>114.7</v>
      </c>
      <c r="J87">
        <v>78.2</v>
      </c>
      <c r="K87">
        <v>212</v>
      </c>
      <c r="L87">
        <v>3.9580000000000002</v>
      </c>
      <c r="M87">
        <v>19</v>
      </c>
      <c r="N87">
        <v>21</v>
      </c>
      <c r="O87" s="2">
        <v>41114</v>
      </c>
      <c r="P87">
        <v>80.657696459999997</v>
      </c>
      <c r="Q87">
        <v>0.65900044228217602</v>
      </c>
    </row>
    <row r="88" spans="1:17" x14ac:dyDescent="0.25">
      <c r="A88" t="s">
        <v>21</v>
      </c>
      <c r="B88" t="s">
        <v>141</v>
      </c>
      <c r="C88">
        <v>27.6</v>
      </c>
      <c r="D88">
        <v>20.399999999999999</v>
      </c>
      <c r="E88" t="s">
        <v>11</v>
      </c>
      <c r="F88">
        <v>27.56</v>
      </c>
      <c r="G88">
        <v>4</v>
      </c>
      <c r="H88">
        <v>210</v>
      </c>
      <c r="I88">
        <v>111.6</v>
      </c>
      <c r="J88">
        <v>70.2</v>
      </c>
      <c r="K88">
        <v>190.1</v>
      </c>
      <c r="L88">
        <v>3.8759999999999999</v>
      </c>
      <c r="M88">
        <v>21</v>
      </c>
      <c r="N88">
        <v>18</v>
      </c>
      <c r="O88" s="2">
        <v>39491</v>
      </c>
      <c r="P88">
        <v>85.949744249999995</v>
      </c>
      <c r="Q88">
        <v>0.74020319303338167</v>
      </c>
    </row>
    <row r="89" spans="1:17" x14ac:dyDescent="0.25">
      <c r="A89" t="s">
        <v>21</v>
      </c>
      <c r="B89" t="s">
        <v>142</v>
      </c>
      <c r="C89">
        <v>20.399999999999999</v>
      </c>
      <c r="D89">
        <v>14.8</v>
      </c>
      <c r="E89" t="s">
        <v>11</v>
      </c>
      <c r="F89">
        <v>22.51</v>
      </c>
      <c r="G89">
        <v>3.3</v>
      </c>
      <c r="H89">
        <v>170</v>
      </c>
      <c r="I89">
        <v>112.2</v>
      </c>
      <c r="J89">
        <v>74.900000000000006</v>
      </c>
      <c r="K89">
        <v>194.7</v>
      </c>
      <c r="L89">
        <v>3.944</v>
      </c>
      <c r="M89">
        <v>20</v>
      </c>
      <c r="N89">
        <v>21</v>
      </c>
      <c r="O89" s="2">
        <v>40106</v>
      </c>
      <c r="P89">
        <v>69.671460999999994</v>
      </c>
      <c r="Q89">
        <v>0.65748556197245667</v>
      </c>
    </row>
    <row r="90" spans="1:17" x14ac:dyDescent="0.25">
      <c r="A90" t="s">
        <v>19</v>
      </c>
      <c r="B90" t="s">
        <v>143</v>
      </c>
      <c r="C90">
        <v>18.399999999999999</v>
      </c>
      <c r="D90">
        <v>26.1</v>
      </c>
      <c r="E90" t="s">
        <v>13</v>
      </c>
      <c r="F90">
        <v>31.75</v>
      </c>
      <c r="G90">
        <v>2.2999999999999998</v>
      </c>
      <c r="H90">
        <v>185</v>
      </c>
      <c r="I90">
        <v>105.9</v>
      </c>
      <c r="J90">
        <v>67.7</v>
      </c>
      <c r="K90">
        <v>177.4</v>
      </c>
      <c r="L90">
        <v>3.25</v>
      </c>
      <c r="M90">
        <v>16.399999999999999</v>
      </c>
      <c r="N90">
        <v>26</v>
      </c>
      <c r="O90" s="2">
        <v>40657</v>
      </c>
      <c r="P90">
        <v>78.280730879999993</v>
      </c>
      <c r="Q90">
        <v>0.82204724409448826</v>
      </c>
    </row>
    <row r="91" spans="1:17" x14ac:dyDescent="0.25">
      <c r="A91" t="s">
        <v>19</v>
      </c>
      <c r="B91" t="s">
        <v>144</v>
      </c>
      <c r="C91">
        <v>27.6</v>
      </c>
      <c r="D91">
        <v>41.5</v>
      </c>
      <c r="E91" t="s">
        <v>13</v>
      </c>
      <c r="F91">
        <v>49.9</v>
      </c>
      <c r="G91">
        <v>3.2</v>
      </c>
      <c r="H91">
        <v>221</v>
      </c>
      <c r="I91">
        <v>111.5</v>
      </c>
      <c r="J91">
        <v>70.8</v>
      </c>
      <c r="K91">
        <v>189.4</v>
      </c>
      <c r="L91">
        <v>3.823</v>
      </c>
      <c r="M91">
        <v>21.1</v>
      </c>
      <c r="N91">
        <v>25</v>
      </c>
      <c r="O91" s="2">
        <v>40736</v>
      </c>
      <c r="P91">
        <v>98.249737499999995</v>
      </c>
      <c r="Q91">
        <v>0.83166332665330667</v>
      </c>
    </row>
    <row r="92" spans="1:17" x14ac:dyDescent="0.25">
      <c r="A92" t="s">
        <v>19</v>
      </c>
      <c r="B92" t="s">
        <v>145</v>
      </c>
      <c r="C92">
        <v>16.8</v>
      </c>
      <c r="D92">
        <v>50.4</v>
      </c>
      <c r="E92" t="s">
        <v>13</v>
      </c>
      <c r="F92">
        <v>69.7</v>
      </c>
      <c r="G92">
        <v>4.3</v>
      </c>
      <c r="H92">
        <v>275</v>
      </c>
      <c r="I92">
        <v>121.5</v>
      </c>
      <c r="J92">
        <v>73.099999999999994</v>
      </c>
      <c r="K92">
        <v>203.1</v>
      </c>
      <c r="L92">
        <v>4.133</v>
      </c>
      <c r="M92">
        <v>23.2</v>
      </c>
      <c r="N92">
        <v>21</v>
      </c>
      <c r="O92" s="2">
        <v>40707</v>
      </c>
      <c r="P92">
        <v>125.2738757</v>
      </c>
      <c r="Q92">
        <v>0.72309899569583924</v>
      </c>
    </row>
    <row r="93" spans="1:17" x14ac:dyDescent="0.25">
      <c r="A93" t="s">
        <v>19</v>
      </c>
      <c r="B93" t="s">
        <v>146</v>
      </c>
      <c r="C93">
        <v>3.3</v>
      </c>
      <c r="D93">
        <v>58.6</v>
      </c>
      <c r="E93" t="s">
        <v>13</v>
      </c>
      <c r="F93">
        <v>82.6</v>
      </c>
      <c r="G93">
        <v>5</v>
      </c>
      <c r="H93">
        <v>302</v>
      </c>
      <c r="I93">
        <v>99</v>
      </c>
      <c r="J93">
        <v>71.3</v>
      </c>
      <c r="K93">
        <v>177.1</v>
      </c>
      <c r="L93">
        <v>4.125</v>
      </c>
      <c r="M93">
        <v>21.1</v>
      </c>
      <c r="N93">
        <v>20</v>
      </c>
      <c r="O93" s="2">
        <v>40619</v>
      </c>
      <c r="P93">
        <v>139.98229359999999</v>
      </c>
      <c r="Q93">
        <v>0.70944309927360782</v>
      </c>
    </row>
    <row r="94" spans="1:17" x14ac:dyDescent="0.25">
      <c r="A94" t="s">
        <v>19</v>
      </c>
      <c r="B94" t="s">
        <v>147</v>
      </c>
      <c r="C94">
        <v>8</v>
      </c>
      <c r="D94">
        <v>18.7</v>
      </c>
      <c r="E94" t="s">
        <v>13</v>
      </c>
      <c r="F94">
        <v>38.9</v>
      </c>
      <c r="G94">
        <v>2.2999999999999998</v>
      </c>
      <c r="H94">
        <v>190</v>
      </c>
      <c r="I94">
        <v>94.5</v>
      </c>
      <c r="J94">
        <v>67.5</v>
      </c>
      <c r="K94">
        <v>157.9</v>
      </c>
      <c r="L94">
        <v>3.0550000000000002</v>
      </c>
      <c r="M94">
        <v>15.9</v>
      </c>
      <c r="N94">
        <v>26</v>
      </c>
      <c r="O94" s="2">
        <v>40559</v>
      </c>
      <c r="P94">
        <v>82.807361929999999</v>
      </c>
      <c r="Q94">
        <v>0.48071979434447298</v>
      </c>
    </row>
    <row r="95" spans="1:17" x14ac:dyDescent="0.25">
      <c r="A95" t="s">
        <v>19</v>
      </c>
      <c r="B95" t="s">
        <v>148</v>
      </c>
      <c r="C95">
        <v>1.5</v>
      </c>
      <c r="D95">
        <v>18.7</v>
      </c>
      <c r="E95" t="s">
        <v>13</v>
      </c>
      <c r="F95">
        <v>41</v>
      </c>
      <c r="G95">
        <v>2.2999999999999998</v>
      </c>
      <c r="H95">
        <v>185</v>
      </c>
      <c r="I95">
        <v>94.5</v>
      </c>
      <c r="J95">
        <v>67.5</v>
      </c>
      <c r="K95">
        <v>157.30000000000001</v>
      </c>
      <c r="L95">
        <v>2.9750000000000001</v>
      </c>
      <c r="M95">
        <v>14</v>
      </c>
      <c r="N95">
        <v>27</v>
      </c>
      <c r="O95" s="2">
        <v>40761</v>
      </c>
      <c r="P95">
        <v>81.848969240000002</v>
      </c>
      <c r="Q95">
        <v>0.45609756097560972</v>
      </c>
    </row>
    <row r="96" spans="1:17" x14ac:dyDescent="0.25">
      <c r="A96" t="s">
        <v>19</v>
      </c>
      <c r="B96" t="s">
        <v>149</v>
      </c>
      <c r="C96">
        <v>11.6</v>
      </c>
      <c r="D96">
        <v>18.7</v>
      </c>
      <c r="E96" t="s">
        <v>13</v>
      </c>
      <c r="F96">
        <v>41.6</v>
      </c>
      <c r="G96">
        <v>3.2</v>
      </c>
      <c r="H96">
        <v>215</v>
      </c>
      <c r="I96">
        <v>105.9</v>
      </c>
      <c r="J96">
        <v>67.8</v>
      </c>
      <c r="K96">
        <v>180.3</v>
      </c>
      <c r="L96">
        <v>3.2130000000000001</v>
      </c>
      <c r="M96">
        <v>16.399999999999999</v>
      </c>
      <c r="N96">
        <v>26</v>
      </c>
      <c r="O96" s="2">
        <v>40732</v>
      </c>
      <c r="P96">
        <v>92.925791770000004</v>
      </c>
      <c r="Q96">
        <v>0.44951923076923073</v>
      </c>
    </row>
    <row r="97" spans="1:17" x14ac:dyDescent="0.25">
      <c r="A97" t="s">
        <v>19</v>
      </c>
      <c r="B97" t="s">
        <v>150</v>
      </c>
      <c r="C97">
        <v>1</v>
      </c>
      <c r="D97">
        <v>18.7</v>
      </c>
      <c r="E97" t="s">
        <v>13</v>
      </c>
      <c r="F97">
        <v>85.5</v>
      </c>
      <c r="G97">
        <v>5</v>
      </c>
      <c r="H97">
        <v>302</v>
      </c>
      <c r="I97">
        <v>113.6</v>
      </c>
      <c r="J97">
        <v>73.099999999999994</v>
      </c>
      <c r="K97">
        <v>196.6</v>
      </c>
      <c r="L97">
        <v>4.1150000000000002</v>
      </c>
      <c r="M97">
        <v>23.2</v>
      </c>
      <c r="N97">
        <v>20</v>
      </c>
      <c r="O97" s="2">
        <v>40644</v>
      </c>
      <c r="P97">
        <v>141.10098450000001</v>
      </c>
      <c r="Q97">
        <v>0.21871345029239769</v>
      </c>
    </row>
    <row r="98" spans="1:17" x14ac:dyDescent="0.25">
      <c r="A98" t="s">
        <v>19</v>
      </c>
      <c r="B98" t="s">
        <v>151</v>
      </c>
      <c r="C98">
        <v>29</v>
      </c>
      <c r="D98">
        <v>18.7</v>
      </c>
      <c r="E98" t="s">
        <v>11</v>
      </c>
      <c r="F98">
        <v>35.299999999999997</v>
      </c>
      <c r="G98">
        <v>3.2</v>
      </c>
      <c r="H98">
        <v>215</v>
      </c>
      <c r="I98">
        <v>111</v>
      </c>
      <c r="J98">
        <v>72.2</v>
      </c>
      <c r="K98">
        <v>180.6</v>
      </c>
      <c r="L98">
        <v>4.3869999999999996</v>
      </c>
      <c r="M98">
        <v>19</v>
      </c>
      <c r="N98">
        <v>20</v>
      </c>
      <c r="O98" s="2">
        <v>40584</v>
      </c>
      <c r="P98">
        <v>90.495532130000001</v>
      </c>
      <c r="Q98">
        <v>0.52974504249291787</v>
      </c>
    </row>
    <row r="99" spans="1:17" x14ac:dyDescent="0.25">
      <c r="A99" t="s">
        <v>23</v>
      </c>
      <c r="B99" t="s">
        <v>152</v>
      </c>
      <c r="C99">
        <v>42.6</v>
      </c>
      <c r="D99">
        <v>8.5</v>
      </c>
      <c r="E99" t="s">
        <v>13</v>
      </c>
      <c r="F99">
        <v>13.5</v>
      </c>
      <c r="G99">
        <v>1.8</v>
      </c>
      <c r="H99">
        <v>126</v>
      </c>
      <c r="I99">
        <v>99.8</v>
      </c>
      <c r="J99">
        <v>67.3</v>
      </c>
      <c r="K99">
        <v>177.5</v>
      </c>
      <c r="L99">
        <v>2.593</v>
      </c>
      <c r="M99">
        <v>13.2</v>
      </c>
      <c r="N99">
        <v>30</v>
      </c>
      <c r="O99" s="2">
        <v>40786</v>
      </c>
      <c r="P99">
        <v>50.241977910000003</v>
      </c>
      <c r="Q99">
        <v>0.62962962962962965</v>
      </c>
    </row>
    <row r="100" spans="1:17" x14ac:dyDescent="0.25">
      <c r="A100" t="s">
        <v>23</v>
      </c>
      <c r="B100" t="s">
        <v>153</v>
      </c>
      <c r="C100">
        <v>88.1</v>
      </c>
      <c r="D100">
        <v>11.3</v>
      </c>
      <c r="E100" t="s">
        <v>13</v>
      </c>
      <c r="F100">
        <v>20.39</v>
      </c>
      <c r="G100">
        <v>2.4</v>
      </c>
      <c r="H100">
        <v>155</v>
      </c>
      <c r="I100">
        <v>103.1</v>
      </c>
      <c r="J100">
        <v>69.099999999999994</v>
      </c>
      <c r="K100">
        <v>183.5</v>
      </c>
      <c r="L100">
        <v>3.012</v>
      </c>
      <c r="M100">
        <v>15.9</v>
      </c>
      <c r="N100">
        <v>25</v>
      </c>
      <c r="O100" s="2">
        <v>40757</v>
      </c>
      <c r="P100">
        <v>63.313727829999998</v>
      </c>
      <c r="Q100">
        <v>0.55419323197645909</v>
      </c>
    </row>
    <row r="101" spans="1:17" x14ac:dyDescent="0.25">
      <c r="A101" t="s">
        <v>23</v>
      </c>
      <c r="B101" t="s">
        <v>154</v>
      </c>
      <c r="C101">
        <v>79.900000000000006</v>
      </c>
      <c r="D101">
        <v>15.1</v>
      </c>
      <c r="E101" t="s">
        <v>13</v>
      </c>
      <c r="F101">
        <v>26.25</v>
      </c>
      <c r="G101">
        <v>3</v>
      </c>
      <c r="H101">
        <v>222</v>
      </c>
      <c r="I101">
        <v>108.3</v>
      </c>
      <c r="J101">
        <v>70.3</v>
      </c>
      <c r="K101">
        <v>190.5</v>
      </c>
      <c r="L101">
        <v>3.294</v>
      </c>
      <c r="M101">
        <v>18.5</v>
      </c>
      <c r="N101">
        <v>25</v>
      </c>
      <c r="O101" s="2">
        <v>40669</v>
      </c>
      <c r="P101">
        <v>89.427820310000001</v>
      </c>
      <c r="Q101">
        <v>0.57523809523809522</v>
      </c>
    </row>
    <row r="102" spans="1:17" x14ac:dyDescent="0.25">
      <c r="A102" t="s">
        <v>23</v>
      </c>
      <c r="B102" t="s">
        <v>155</v>
      </c>
      <c r="C102">
        <v>27.3</v>
      </c>
      <c r="D102">
        <v>15.4</v>
      </c>
      <c r="E102" t="s">
        <v>11</v>
      </c>
      <c r="F102">
        <v>26.4</v>
      </c>
      <c r="G102">
        <v>3.3</v>
      </c>
      <c r="H102">
        <v>170</v>
      </c>
      <c r="I102">
        <v>112.2</v>
      </c>
      <c r="J102">
        <v>74.900000000000006</v>
      </c>
      <c r="K102">
        <v>194.8</v>
      </c>
      <c r="L102">
        <v>3.9910000000000001</v>
      </c>
      <c r="M102">
        <v>20</v>
      </c>
      <c r="N102">
        <v>21</v>
      </c>
      <c r="O102" s="2">
        <v>40609</v>
      </c>
      <c r="P102">
        <v>71.171664129999996</v>
      </c>
      <c r="Q102">
        <v>0.58333333333333337</v>
      </c>
    </row>
    <row r="103" spans="1:17" x14ac:dyDescent="0.25">
      <c r="A103" t="s">
        <v>23</v>
      </c>
      <c r="B103" t="s">
        <v>156</v>
      </c>
      <c r="C103">
        <v>42.6</v>
      </c>
      <c r="D103">
        <v>17.8</v>
      </c>
      <c r="E103" t="s">
        <v>11</v>
      </c>
      <c r="F103">
        <v>29.3</v>
      </c>
      <c r="G103">
        <v>3.3</v>
      </c>
      <c r="H103">
        <v>170</v>
      </c>
      <c r="I103">
        <v>106.3</v>
      </c>
      <c r="J103">
        <v>71.7</v>
      </c>
      <c r="K103">
        <v>182.6</v>
      </c>
      <c r="L103">
        <v>3.9470000000000001</v>
      </c>
      <c r="M103">
        <v>21</v>
      </c>
      <c r="N103">
        <v>19</v>
      </c>
      <c r="O103" s="2">
        <v>40811</v>
      </c>
      <c r="P103">
        <v>72.290355079999998</v>
      </c>
      <c r="Q103">
        <v>0.60750853242320824</v>
      </c>
    </row>
    <row r="104" spans="1:17" x14ac:dyDescent="0.25">
      <c r="A104" t="s">
        <v>23</v>
      </c>
      <c r="B104" t="s">
        <v>157</v>
      </c>
      <c r="C104">
        <v>54.2</v>
      </c>
      <c r="D104">
        <v>18.7</v>
      </c>
      <c r="E104" t="s">
        <v>11</v>
      </c>
      <c r="F104">
        <v>22.8</v>
      </c>
      <c r="G104">
        <v>3.3</v>
      </c>
      <c r="H104">
        <v>170</v>
      </c>
      <c r="I104">
        <v>104.3</v>
      </c>
      <c r="J104">
        <v>70.400000000000006</v>
      </c>
      <c r="K104">
        <v>178</v>
      </c>
      <c r="L104">
        <v>3.8210000000000002</v>
      </c>
      <c r="M104">
        <v>19.399999999999999</v>
      </c>
      <c r="N104">
        <v>18</v>
      </c>
      <c r="O104" s="2">
        <v>40567</v>
      </c>
      <c r="P104">
        <v>69.78294434</v>
      </c>
      <c r="Q104">
        <v>0.82017543859649122</v>
      </c>
    </row>
    <row r="105" spans="1:17" x14ac:dyDescent="0.25">
      <c r="A105" t="s">
        <v>23</v>
      </c>
      <c r="B105" t="s">
        <v>158</v>
      </c>
      <c r="C105">
        <v>65</v>
      </c>
      <c r="D105">
        <v>18.7</v>
      </c>
      <c r="E105" t="s">
        <v>11</v>
      </c>
      <c r="F105">
        <v>17.89</v>
      </c>
      <c r="G105">
        <v>3.3</v>
      </c>
      <c r="H105">
        <v>170</v>
      </c>
      <c r="I105">
        <v>116.1</v>
      </c>
      <c r="J105">
        <v>66.5</v>
      </c>
      <c r="K105">
        <v>196.1</v>
      </c>
      <c r="L105">
        <v>3.2170000000000001</v>
      </c>
      <c r="M105">
        <v>19.399999999999999</v>
      </c>
      <c r="N105">
        <v>18</v>
      </c>
      <c r="O105" s="2">
        <v>40782</v>
      </c>
      <c r="P105">
        <v>67.889270589999995</v>
      </c>
      <c r="Q105">
        <v>1.045276690888765</v>
      </c>
    </row>
    <row r="106" spans="1:17" x14ac:dyDescent="0.25">
      <c r="A106" t="s">
        <v>159</v>
      </c>
      <c r="B106" t="s">
        <v>160</v>
      </c>
      <c r="C106">
        <v>1.1000000000000001</v>
      </c>
      <c r="D106">
        <v>11.2</v>
      </c>
      <c r="E106" t="s">
        <v>13</v>
      </c>
      <c r="F106">
        <v>18.149999999999999</v>
      </c>
      <c r="G106">
        <v>3.1</v>
      </c>
      <c r="H106">
        <v>150</v>
      </c>
      <c r="I106">
        <v>107</v>
      </c>
      <c r="J106">
        <v>69.400000000000006</v>
      </c>
      <c r="K106">
        <v>192</v>
      </c>
      <c r="L106">
        <v>3.1019999999999999</v>
      </c>
      <c r="M106">
        <v>15.2</v>
      </c>
      <c r="N106">
        <v>25</v>
      </c>
      <c r="O106" s="2">
        <v>40694</v>
      </c>
      <c r="P106">
        <v>60.861611549999999</v>
      </c>
      <c r="Q106">
        <v>0.61707988980716255</v>
      </c>
    </row>
    <row r="107" spans="1:17" x14ac:dyDescent="0.25">
      <c r="A107" t="s">
        <v>159</v>
      </c>
      <c r="B107" t="s">
        <v>161</v>
      </c>
      <c r="C107">
        <v>80.3</v>
      </c>
      <c r="D107">
        <v>18.7</v>
      </c>
      <c r="E107" t="s">
        <v>13</v>
      </c>
      <c r="F107">
        <v>18.27</v>
      </c>
      <c r="G107">
        <v>2.4</v>
      </c>
      <c r="H107">
        <v>150</v>
      </c>
      <c r="I107">
        <v>107</v>
      </c>
      <c r="J107">
        <v>70.099999999999994</v>
      </c>
      <c r="K107">
        <v>186.7</v>
      </c>
      <c r="L107">
        <v>2.9580000000000002</v>
      </c>
      <c r="M107">
        <v>15</v>
      </c>
      <c r="N107">
        <v>27</v>
      </c>
      <c r="O107" s="2">
        <v>40106</v>
      </c>
      <c r="P107">
        <v>60.727446929999999</v>
      </c>
      <c r="Q107">
        <v>1.023535851122058</v>
      </c>
    </row>
    <row r="108" spans="1:17" x14ac:dyDescent="0.25">
      <c r="A108" t="s">
        <v>159</v>
      </c>
      <c r="B108" t="s">
        <v>162</v>
      </c>
      <c r="C108">
        <v>14.7</v>
      </c>
      <c r="D108">
        <v>19.899999999999999</v>
      </c>
      <c r="E108" t="s">
        <v>13</v>
      </c>
      <c r="F108">
        <v>36.229999999999997</v>
      </c>
      <c r="G108">
        <v>4</v>
      </c>
      <c r="H108">
        <v>250</v>
      </c>
      <c r="I108">
        <v>113.8</v>
      </c>
      <c r="J108">
        <v>74.400000000000006</v>
      </c>
      <c r="K108">
        <v>205.4</v>
      </c>
      <c r="L108">
        <v>3.9670000000000001</v>
      </c>
      <c r="M108">
        <v>18.5</v>
      </c>
      <c r="N108">
        <v>22</v>
      </c>
      <c r="O108" s="2">
        <v>40592</v>
      </c>
      <c r="P108">
        <v>103.4416926</v>
      </c>
      <c r="Q108">
        <v>0.54926856196522222</v>
      </c>
    </row>
    <row r="109" spans="1:17" x14ac:dyDescent="0.25">
      <c r="A109" t="s">
        <v>159</v>
      </c>
      <c r="B109" t="s">
        <v>163</v>
      </c>
      <c r="C109">
        <v>20</v>
      </c>
      <c r="D109">
        <v>19.899999999999999</v>
      </c>
      <c r="E109" t="s">
        <v>11</v>
      </c>
      <c r="F109">
        <v>31.6</v>
      </c>
      <c r="G109">
        <v>4.3</v>
      </c>
      <c r="H109">
        <v>190</v>
      </c>
      <c r="I109">
        <v>107</v>
      </c>
      <c r="J109">
        <v>67.8</v>
      </c>
      <c r="K109">
        <v>181.2</v>
      </c>
      <c r="L109">
        <v>4.0679999999999996</v>
      </c>
      <c r="M109">
        <v>17.5</v>
      </c>
      <c r="N109">
        <v>19</v>
      </c>
      <c r="O109" s="2">
        <v>40807</v>
      </c>
      <c r="P109">
        <v>80.511672590000003</v>
      </c>
      <c r="Q109">
        <v>0.62974683544303789</v>
      </c>
    </row>
    <row r="110" spans="1:17" x14ac:dyDescent="0.25">
      <c r="A110" t="s">
        <v>159</v>
      </c>
      <c r="B110" t="s">
        <v>164</v>
      </c>
      <c r="C110">
        <v>24.4</v>
      </c>
      <c r="D110">
        <v>15.2</v>
      </c>
      <c r="E110" t="s">
        <v>11</v>
      </c>
      <c r="F110">
        <v>25.35</v>
      </c>
      <c r="G110">
        <v>3.4</v>
      </c>
      <c r="H110">
        <v>185</v>
      </c>
      <c r="I110">
        <v>120</v>
      </c>
      <c r="J110">
        <v>72.2</v>
      </c>
      <c r="K110">
        <v>201.4</v>
      </c>
      <c r="L110">
        <v>3.948</v>
      </c>
      <c r="M110">
        <v>25</v>
      </c>
      <c r="N110">
        <v>22</v>
      </c>
      <c r="O110" s="2">
        <v>40719</v>
      </c>
      <c r="P110">
        <v>76.096570420000006</v>
      </c>
      <c r="Q110">
        <v>0.59960552268244571</v>
      </c>
    </row>
    <row r="111" spans="1:17" x14ac:dyDescent="0.25">
      <c r="A111" t="s">
        <v>165</v>
      </c>
      <c r="B111" t="s">
        <v>91</v>
      </c>
      <c r="C111">
        <v>32.700000000000003</v>
      </c>
      <c r="D111">
        <v>7.8</v>
      </c>
      <c r="E111" t="s">
        <v>13</v>
      </c>
      <c r="F111">
        <v>12.64</v>
      </c>
      <c r="G111">
        <v>2</v>
      </c>
      <c r="H111">
        <v>132</v>
      </c>
      <c r="I111">
        <v>105</v>
      </c>
      <c r="J111">
        <v>74.400000000000006</v>
      </c>
      <c r="K111">
        <v>174.4</v>
      </c>
      <c r="L111">
        <v>2.5590000000000002</v>
      </c>
      <c r="M111">
        <v>12.5</v>
      </c>
      <c r="N111">
        <v>29</v>
      </c>
      <c r="O111" s="2">
        <v>40659</v>
      </c>
      <c r="P111">
        <v>52.084898750000001</v>
      </c>
      <c r="Q111">
        <v>0.61708860759493667</v>
      </c>
    </row>
    <row r="112" spans="1:17" x14ac:dyDescent="0.25">
      <c r="A112" t="s">
        <v>165</v>
      </c>
      <c r="B112" t="s">
        <v>166</v>
      </c>
      <c r="C112">
        <v>5.2</v>
      </c>
      <c r="D112">
        <v>9.8000000000000007</v>
      </c>
      <c r="E112" t="s">
        <v>13</v>
      </c>
      <c r="F112">
        <v>16.079999999999998</v>
      </c>
      <c r="G112">
        <v>2</v>
      </c>
      <c r="H112">
        <v>132</v>
      </c>
      <c r="I112">
        <v>108</v>
      </c>
      <c r="J112">
        <v>71</v>
      </c>
      <c r="K112">
        <v>186.3</v>
      </c>
      <c r="L112">
        <v>2.9420000000000002</v>
      </c>
      <c r="M112">
        <v>16</v>
      </c>
      <c r="N112">
        <v>27</v>
      </c>
      <c r="O112" s="2">
        <v>40861</v>
      </c>
      <c r="P112">
        <v>53.411897670000002</v>
      </c>
      <c r="Q112">
        <v>0.60945273631840802</v>
      </c>
    </row>
    <row r="113" spans="1:17" x14ac:dyDescent="0.25">
      <c r="A113" t="s">
        <v>165</v>
      </c>
      <c r="B113" t="s">
        <v>167</v>
      </c>
      <c r="C113">
        <v>24.2</v>
      </c>
      <c r="D113">
        <v>12</v>
      </c>
      <c r="E113" t="s">
        <v>11</v>
      </c>
      <c r="F113">
        <v>18.850000000000001</v>
      </c>
      <c r="G113">
        <v>2.4</v>
      </c>
      <c r="H113">
        <v>150</v>
      </c>
      <c r="I113">
        <v>113.3</v>
      </c>
      <c r="J113">
        <v>76.8</v>
      </c>
      <c r="K113">
        <v>186.3</v>
      </c>
      <c r="L113">
        <v>3.528</v>
      </c>
      <c r="M113">
        <v>20</v>
      </c>
      <c r="N113">
        <v>24</v>
      </c>
      <c r="O113" s="2">
        <v>40657</v>
      </c>
      <c r="P113">
        <v>60.951185119999998</v>
      </c>
      <c r="Q113">
        <v>0.63660477453580899</v>
      </c>
    </row>
    <row r="114" spans="1:17" x14ac:dyDescent="0.25">
      <c r="A114" t="s">
        <v>165</v>
      </c>
      <c r="B114" t="s">
        <v>168</v>
      </c>
      <c r="C114">
        <v>1.9</v>
      </c>
      <c r="D114">
        <v>18.7</v>
      </c>
      <c r="E114" t="s">
        <v>13</v>
      </c>
      <c r="F114">
        <v>43</v>
      </c>
      <c r="G114">
        <v>3.5</v>
      </c>
      <c r="H114">
        <v>253</v>
      </c>
      <c r="I114">
        <v>113.3</v>
      </c>
      <c r="J114">
        <v>76.3</v>
      </c>
      <c r="K114">
        <v>165.4</v>
      </c>
      <c r="L114">
        <v>2.85</v>
      </c>
      <c r="M114">
        <v>12</v>
      </c>
      <c r="N114">
        <v>21</v>
      </c>
      <c r="O114" s="2">
        <v>41087</v>
      </c>
      <c r="P114">
        <v>106.98445630000001</v>
      </c>
      <c r="Q114">
        <v>0.43488372093023248</v>
      </c>
    </row>
    <row r="115" spans="1:17" x14ac:dyDescent="0.25">
      <c r="A115" t="s">
        <v>26</v>
      </c>
      <c r="B115" t="s">
        <v>169</v>
      </c>
      <c r="C115">
        <v>51.6</v>
      </c>
      <c r="D115">
        <v>13.8</v>
      </c>
      <c r="E115" t="s">
        <v>13</v>
      </c>
      <c r="F115">
        <v>21.61</v>
      </c>
      <c r="G115">
        <v>2.4</v>
      </c>
      <c r="H115">
        <v>150</v>
      </c>
      <c r="I115">
        <v>104.1</v>
      </c>
      <c r="J115">
        <v>68.400000000000006</v>
      </c>
      <c r="K115">
        <v>181.9</v>
      </c>
      <c r="L115">
        <v>2.9060000000000001</v>
      </c>
      <c r="M115">
        <v>15</v>
      </c>
      <c r="N115">
        <v>27</v>
      </c>
      <c r="O115" s="2">
        <v>40933</v>
      </c>
      <c r="P115">
        <v>62.015870300000003</v>
      </c>
      <c r="Q115">
        <v>0.63859324386857941</v>
      </c>
    </row>
    <row r="116" spans="1:17" x14ac:dyDescent="0.25">
      <c r="A116" t="s">
        <v>26</v>
      </c>
      <c r="B116" t="s">
        <v>170</v>
      </c>
      <c r="C116">
        <v>131.1</v>
      </c>
      <c r="D116">
        <v>10.3</v>
      </c>
      <c r="E116" t="s">
        <v>13</v>
      </c>
      <c r="F116">
        <v>19.72</v>
      </c>
      <c r="G116">
        <v>3.4</v>
      </c>
      <c r="H116">
        <v>175</v>
      </c>
      <c r="I116">
        <v>107</v>
      </c>
      <c r="J116">
        <v>70.400000000000006</v>
      </c>
      <c r="K116">
        <v>186.3</v>
      </c>
      <c r="L116">
        <v>3.0910000000000002</v>
      </c>
      <c r="M116">
        <v>15.2</v>
      </c>
      <c r="N116">
        <v>25</v>
      </c>
      <c r="O116" s="2">
        <v>41239</v>
      </c>
      <c r="P116">
        <v>70.389737260000004</v>
      </c>
      <c r="Q116">
        <v>0.52231237322515223</v>
      </c>
    </row>
    <row r="117" spans="1:17" x14ac:dyDescent="0.25">
      <c r="A117" t="s">
        <v>26</v>
      </c>
      <c r="B117" t="s">
        <v>171</v>
      </c>
      <c r="C117">
        <v>19.899999999999999</v>
      </c>
      <c r="D117">
        <v>17.8</v>
      </c>
      <c r="E117" t="s">
        <v>13</v>
      </c>
      <c r="F117">
        <v>25.31</v>
      </c>
      <c r="G117">
        <v>3.8</v>
      </c>
      <c r="H117">
        <v>200</v>
      </c>
      <c r="I117">
        <v>101.1</v>
      </c>
      <c r="J117">
        <v>74.5</v>
      </c>
      <c r="K117">
        <v>193.4</v>
      </c>
      <c r="L117">
        <v>3.492</v>
      </c>
      <c r="M117">
        <v>16.8</v>
      </c>
      <c r="N117">
        <v>25</v>
      </c>
      <c r="O117" s="2">
        <v>41076</v>
      </c>
      <c r="P117">
        <v>81.492726160000004</v>
      </c>
      <c r="Q117">
        <v>0.70327933623073891</v>
      </c>
    </row>
    <row r="118" spans="1:17" x14ac:dyDescent="0.25">
      <c r="A118" t="s">
        <v>26</v>
      </c>
      <c r="B118" t="s">
        <v>172</v>
      </c>
      <c r="C118">
        <v>92.4</v>
      </c>
      <c r="D118">
        <v>14</v>
      </c>
      <c r="E118" t="s">
        <v>13</v>
      </c>
      <c r="F118">
        <v>21.67</v>
      </c>
      <c r="G118">
        <v>3.8</v>
      </c>
      <c r="H118">
        <v>195</v>
      </c>
      <c r="I118">
        <v>110.5</v>
      </c>
      <c r="J118">
        <v>72.7</v>
      </c>
      <c r="K118">
        <v>196.5</v>
      </c>
      <c r="L118">
        <v>3.3959999999999999</v>
      </c>
      <c r="M118">
        <v>18</v>
      </c>
      <c r="N118">
        <v>25</v>
      </c>
      <c r="O118" s="2">
        <v>41197</v>
      </c>
      <c r="P118">
        <v>78.318168130000004</v>
      </c>
      <c r="Q118">
        <v>0.64605445316105214</v>
      </c>
    </row>
    <row r="119" spans="1:17" x14ac:dyDescent="0.25">
      <c r="A119" t="s">
        <v>26</v>
      </c>
      <c r="B119" t="s">
        <v>173</v>
      </c>
      <c r="C119">
        <v>35.9</v>
      </c>
      <c r="D119">
        <v>13.2</v>
      </c>
      <c r="E119" t="s">
        <v>13</v>
      </c>
      <c r="F119">
        <v>23.76</v>
      </c>
      <c r="G119">
        <v>3.8</v>
      </c>
      <c r="H119">
        <v>205</v>
      </c>
      <c r="I119">
        <v>112.2</v>
      </c>
      <c r="J119">
        <v>72.599999999999994</v>
      </c>
      <c r="K119">
        <v>202.5</v>
      </c>
      <c r="L119">
        <v>3.59</v>
      </c>
      <c r="M119">
        <v>17.5</v>
      </c>
      <c r="N119">
        <v>24</v>
      </c>
      <c r="O119" s="2">
        <v>40681</v>
      </c>
      <c r="P119">
        <v>82.661355599999993</v>
      </c>
      <c r="Q119">
        <v>0.55555555555555547</v>
      </c>
    </row>
    <row r="120" spans="1:17" x14ac:dyDescent="0.25">
      <c r="A120" t="s">
        <v>26</v>
      </c>
      <c r="B120" t="s">
        <v>174</v>
      </c>
      <c r="C120">
        <v>39.6</v>
      </c>
      <c r="D120">
        <v>18.7</v>
      </c>
      <c r="E120" t="s">
        <v>11</v>
      </c>
      <c r="F120">
        <v>25.64</v>
      </c>
      <c r="G120">
        <v>3.4</v>
      </c>
      <c r="H120">
        <v>185</v>
      </c>
      <c r="I120">
        <v>120</v>
      </c>
      <c r="J120">
        <v>72.7</v>
      </c>
      <c r="K120">
        <v>201.3</v>
      </c>
      <c r="L120">
        <v>3.9420000000000002</v>
      </c>
      <c r="M120">
        <v>25</v>
      </c>
      <c r="N120">
        <v>23</v>
      </c>
      <c r="O120" s="2">
        <v>41112</v>
      </c>
      <c r="P120">
        <v>76.208439519999999</v>
      </c>
      <c r="Q120">
        <v>0.72932917316692658</v>
      </c>
    </row>
    <row r="121" spans="1:17" x14ac:dyDescent="0.25">
      <c r="A121" t="s">
        <v>175</v>
      </c>
      <c r="B121" t="s">
        <v>176</v>
      </c>
      <c r="C121">
        <v>9</v>
      </c>
      <c r="D121">
        <v>41.3</v>
      </c>
      <c r="E121" t="s">
        <v>13</v>
      </c>
      <c r="F121">
        <v>41.43</v>
      </c>
      <c r="G121">
        <v>2.7</v>
      </c>
      <c r="H121">
        <v>217</v>
      </c>
      <c r="I121">
        <v>95.2</v>
      </c>
      <c r="J121">
        <v>70.099999999999994</v>
      </c>
      <c r="K121">
        <v>171</v>
      </c>
      <c r="L121">
        <v>2.778</v>
      </c>
      <c r="M121">
        <v>17</v>
      </c>
      <c r="N121">
        <v>22</v>
      </c>
      <c r="O121" s="2">
        <v>40958</v>
      </c>
      <c r="P121">
        <v>93.437330700000004</v>
      </c>
      <c r="Q121">
        <v>0.99686217716630454</v>
      </c>
    </row>
    <row r="122" spans="1:17" x14ac:dyDescent="0.25">
      <c r="A122" t="s">
        <v>175</v>
      </c>
      <c r="B122" t="s">
        <v>177</v>
      </c>
      <c r="C122">
        <v>1.3</v>
      </c>
      <c r="D122">
        <v>60.6</v>
      </c>
      <c r="E122" t="s">
        <v>13</v>
      </c>
      <c r="F122">
        <v>71.02</v>
      </c>
      <c r="G122">
        <v>3.4</v>
      </c>
      <c r="H122">
        <v>300</v>
      </c>
      <c r="I122">
        <v>92.6</v>
      </c>
      <c r="J122">
        <v>69.5</v>
      </c>
      <c r="K122">
        <v>174.5</v>
      </c>
      <c r="L122">
        <v>3.032</v>
      </c>
      <c r="M122">
        <v>17</v>
      </c>
      <c r="N122">
        <v>21</v>
      </c>
      <c r="O122" s="2">
        <v>41264</v>
      </c>
      <c r="P122">
        <v>134.3909754</v>
      </c>
      <c r="Q122">
        <v>0.85328076598141378</v>
      </c>
    </row>
    <row r="123" spans="1:17" x14ac:dyDescent="0.25">
      <c r="A123" t="s">
        <v>175</v>
      </c>
      <c r="B123" t="s">
        <v>178</v>
      </c>
      <c r="C123">
        <v>1.9</v>
      </c>
      <c r="D123">
        <v>67.599999999999994</v>
      </c>
      <c r="E123" t="s">
        <v>13</v>
      </c>
      <c r="F123">
        <v>74.97</v>
      </c>
      <c r="G123">
        <v>3.4</v>
      </c>
      <c r="H123">
        <v>300</v>
      </c>
      <c r="I123">
        <v>92.6</v>
      </c>
      <c r="J123">
        <v>69.5</v>
      </c>
      <c r="K123">
        <v>174.5</v>
      </c>
      <c r="L123">
        <v>3.0750000000000002</v>
      </c>
      <c r="M123">
        <v>17</v>
      </c>
      <c r="N123">
        <v>23</v>
      </c>
      <c r="O123" s="2">
        <v>40735</v>
      </c>
      <c r="P123">
        <v>135.91470960000001</v>
      </c>
      <c r="Q123">
        <v>0.9016940109377084</v>
      </c>
    </row>
    <row r="124" spans="1:17" x14ac:dyDescent="0.25">
      <c r="A124" t="s">
        <v>179</v>
      </c>
      <c r="B124" t="s">
        <v>180</v>
      </c>
      <c r="C124">
        <v>9.1999999999999993</v>
      </c>
      <c r="D124">
        <v>18.7</v>
      </c>
      <c r="E124" t="s">
        <v>13</v>
      </c>
      <c r="F124">
        <v>33.119999999999997</v>
      </c>
      <c r="G124">
        <v>2.2999999999999998</v>
      </c>
      <c r="H124">
        <v>170</v>
      </c>
      <c r="I124">
        <v>106.4</v>
      </c>
      <c r="J124">
        <v>70.599999999999994</v>
      </c>
      <c r="K124">
        <v>189.2</v>
      </c>
      <c r="L124">
        <v>3.28</v>
      </c>
      <c r="M124">
        <v>18.5</v>
      </c>
      <c r="N124">
        <v>23</v>
      </c>
      <c r="O124" s="2">
        <v>41222</v>
      </c>
      <c r="P124">
        <v>73.503778190000006</v>
      </c>
      <c r="Q124">
        <v>0.56461352657004837</v>
      </c>
    </row>
    <row r="125" spans="1:17" x14ac:dyDescent="0.25">
      <c r="A125" t="s">
        <v>179</v>
      </c>
      <c r="B125" t="s">
        <v>181</v>
      </c>
      <c r="C125">
        <v>12.1</v>
      </c>
      <c r="D125">
        <v>18.7</v>
      </c>
      <c r="E125" t="s">
        <v>13</v>
      </c>
      <c r="F125">
        <v>26.1</v>
      </c>
      <c r="G125">
        <v>2</v>
      </c>
      <c r="H125">
        <v>185</v>
      </c>
      <c r="I125">
        <v>102.6</v>
      </c>
      <c r="J125">
        <v>67.400000000000006</v>
      </c>
      <c r="K125">
        <v>182.2</v>
      </c>
      <c r="L125">
        <v>2.99</v>
      </c>
      <c r="M125">
        <v>16.899999999999999</v>
      </c>
      <c r="N125">
        <v>23</v>
      </c>
      <c r="O125" s="2">
        <v>40706</v>
      </c>
      <c r="P125">
        <v>76.02304771</v>
      </c>
      <c r="Q125">
        <v>0.71647509578544055</v>
      </c>
    </row>
    <row r="126" spans="1:17" x14ac:dyDescent="0.25">
      <c r="A126" t="s">
        <v>29</v>
      </c>
      <c r="B126" t="s">
        <v>182</v>
      </c>
      <c r="C126">
        <v>80.599999999999994</v>
      </c>
      <c r="D126">
        <v>9.1999999999999993</v>
      </c>
      <c r="E126" t="s">
        <v>13</v>
      </c>
      <c r="F126">
        <v>10.69</v>
      </c>
      <c r="G126">
        <v>1.9</v>
      </c>
      <c r="H126">
        <v>100</v>
      </c>
      <c r="I126">
        <v>102.4</v>
      </c>
      <c r="J126">
        <v>66.400000000000006</v>
      </c>
      <c r="K126">
        <v>176.9</v>
      </c>
      <c r="L126">
        <v>2.3319999999999999</v>
      </c>
      <c r="M126">
        <v>12.1</v>
      </c>
      <c r="N126">
        <v>33</v>
      </c>
      <c r="O126" s="2">
        <v>41137</v>
      </c>
      <c r="P126">
        <v>39.986424749999998</v>
      </c>
      <c r="Q126">
        <v>0.86061739943872773</v>
      </c>
    </row>
    <row r="127" spans="1:17" x14ac:dyDescent="0.25">
      <c r="A127" t="s">
        <v>29</v>
      </c>
      <c r="B127" t="s">
        <v>183</v>
      </c>
      <c r="C127">
        <v>24.5</v>
      </c>
      <c r="D127">
        <v>10.6</v>
      </c>
      <c r="E127" t="s">
        <v>13</v>
      </c>
      <c r="F127">
        <v>12.54</v>
      </c>
      <c r="G127">
        <v>1.9</v>
      </c>
      <c r="H127">
        <v>100</v>
      </c>
      <c r="I127">
        <v>102.4</v>
      </c>
      <c r="J127">
        <v>66.400000000000006</v>
      </c>
      <c r="K127">
        <v>180</v>
      </c>
      <c r="L127">
        <v>2.367</v>
      </c>
      <c r="M127">
        <v>12.1</v>
      </c>
      <c r="N127">
        <v>33</v>
      </c>
      <c r="O127" s="2">
        <v>40618</v>
      </c>
      <c r="P127">
        <v>40.700072419999998</v>
      </c>
      <c r="Q127">
        <v>0.84529505582137165</v>
      </c>
    </row>
    <row r="128" spans="1:17" x14ac:dyDescent="0.25">
      <c r="A128" t="s">
        <v>29</v>
      </c>
      <c r="B128" t="s">
        <v>184</v>
      </c>
      <c r="C128">
        <v>5.2</v>
      </c>
      <c r="D128">
        <v>10.8</v>
      </c>
      <c r="E128" t="s">
        <v>13</v>
      </c>
      <c r="F128">
        <v>14.29</v>
      </c>
      <c r="G128">
        <v>1.9</v>
      </c>
      <c r="H128">
        <v>124</v>
      </c>
      <c r="I128">
        <v>102.4</v>
      </c>
      <c r="J128">
        <v>66.400000000000006</v>
      </c>
      <c r="K128">
        <v>176.9</v>
      </c>
      <c r="L128">
        <v>2.452</v>
      </c>
      <c r="M128">
        <v>12.1</v>
      </c>
      <c r="N128">
        <v>31</v>
      </c>
      <c r="O128" s="2">
        <v>40558</v>
      </c>
      <c r="P128">
        <v>49.865773670000003</v>
      </c>
      <c r="Q128">
        <v>0.75577326801959421</v>
      </c>
    </row>
    <row r="129" spans="1:17" x14ac:dyDescent="0.25">
      <c r="A129" t="s">
        <v>29</v>
      </c>
      <c r="B129" t="s">
        <v>185</v>
      </c>
      <c r="C129">
        <v>8.5</v>
      </c>
      <c r="D129">
        <v>18.7</v>
      </c>
      <c r="E129" t="s">
        <v>13</v>
      </c>
      <c r="F129">
        <v>18.84</v>
      </c>
      <c r="G129">
        <v>2.2000000000000002</v>
      </c>
      <c r="H129">
        <v>137</v>
      </c>
      <c r="I129">
        <v>106.5</v>
      </c>
      <c r="J129">
        <v>69</v>
      </c>
      <c r="K129">
        <v>190.4</v>
      </c>
      <c r="L129">
        <v>3.0750000000000002</v>
      </c>
      <c r="M129">
        <v>13.1</v>
      </c>
      <c r="N129">
        <v>27</v>
      </c>
      <c r="O129" s="2">
        <v>40760</v>
      </c>
      <c r="P129">
        <v>56.295243040000003</v>
      </c>
      <c r="Q129">
        <v>0.99256900212314225</v>
      </c>
    </row>
    <row r="130" spans="1:17" x14ac:dyDescent="0.25">
      <c r="A130" t="s">
        <v>29</v>
      </c>
      <c r="B130" t="s">
        <v>186</v>
      </c>
      <c r="C130">
        <v>50</v>
      </c>
      <c r="D130">
        <v>18.7</v>
      </c>
      <c r="E130" t="s">
        <v>13</v>
      </c>
      <c r="F130">
        <v>15.01</v>
      </c>
      <c r="G130">
        <v>2.2000000000000002</v>
      </c>
      <c r="H130">
        <v>137</v>
      </c>
      <c r="I130">
        <v>106.5</v>
      </c>
      <c r="J130">
        <v>69</v>
      </c>
      <c r="K130">
        <v>190.4</v>
      </c>
      <c r="L130">
        <v>2.91</v>
      </c>
      <c r="M130">
        <v>13.1</v>
      </c>
      <c r="N130">
        <v>28</v>
      </c>
      <c r="O130" s="2">
        <v>41247</v>
      </c>
      <c r="P130">
        <v>54.819728249999997</v>
      </c>
      <c r="Q130">
        <v>1.245836109260493</v>
      </c>
    </row>
    <row r="131" spans="1:17" x14ac:dyDescent="0.25">
      <c r="A131" t="s">
        <v>187</v>
      </c>
      <c r="B131" t="s">
        <v>188</v>
      </c>
      <c r="C131">
        <v>47.1</v>
      </c>
      <c r="D131">
        <v>18.7</v>
      </c>
      <c r="E131" t="s">
        <v>13</v>
      </c>
      <c r="F131">
        <v>22.7</v>
      </c>
      <c r="G131">
        <v>2.5</v>
      </c>
      <c r="H131">
        <v>165</v>
      </c>
      <c r="I131">
        <v>103.5</v>
      </c>
      <c r="J131">
        <v>67.5</v>
      </c>
      <c r="K131">
        <v>185.8</v>
      </c>
      <c r="L131">
        <v>3.415</v>
      </c>
      <c r="M131">
        <v>16.899999999999999</v>
      </c>
      <c r="N131">
        <v>25</v>
      </c>
      <c r="O131" s="2">
        <v>40731</v>
      </c>
      <c r="P131">
        <v>67.765907600000006</v>
      </c>
      <c r="Q131">
        <v>0.82378854625550657</v>
      </c>
    </row>
    <row r="132" spans="1:17" x14ac:dyDescent="0.25">
      <c r="A132" t="s">
        <v>187</v>
      </c>
      <c r="B132" t="s">
        <v>189</v>
      </c>
      <c r="C132">
        <v>33</v>
      </c>
      <c r="D132">
        <v>18.7</v>
      </c>
      <c r="E132" t="s">
        <v>11</v>
      </c>
      <c r="F132">
        <v>20.100000000000001</v>
      </c>
      <c r="G132">
        <v>2.5</v>
      </c>
      <c r="H132">
        <v>165</v>
      </c>
      <c r="I132">
        <v>99.4</v>
      </c>
      <c r="J132">
        <v>68.3</v>
      </c>
      <c r="K132">
        <v>175.2</v>
      </c>
      <c r="L132">
        <v>3.125</v>
      </c>
      <c r="M132">
        <v>15.9</v>
      </c>
      <c r="N132">
        <v>24</v>
      </c>
      <c r="O132" s="2">
        <v>41162</v>
      </c>
      <c r="P132">
        <v>66.762943309999997</v>
      </c>
      <c r="Q132">
        <v>0.93034825870646753</v>
      </c>
    </row>
    <row r="133" spans="1:17" x14ac:dyDescent="0.25">
      <c r="A133" t="s">
        <v>28</v>
      </c>
      <c r="B133" t="s">
        <v>190</v>
      </c>
      <c r="C133">
        <v>142.5</v>
      </c>
      <c r="D133">
        <v>10</v>
      </c>
      <c r="E133" t="s">
        <v>13</v>
      </c>
      <c r="F133">
        <v>13.11</v>
      </c>
      <c r="G133">
        <v>1.8</v>
      </c>
      <c r="H133">
        <v>120</v>
      </c>
      <c r="I133">
        <v>97</v>
      </c>
      <c r="J133">
        <v>66.7</v>
      </c>
      <c r="K133">
        <v>174</v>
      </c>
      <c r="L133">
        <v>2.42</v>
      </c>
      <c r="M133">
        <v>13.2</v>
      </c>
      <c r="N133">
        <v>33</v>
      </c>
      <c r="O133" s="2">
        <v>40644</v>
      </c>
      <c r="P133">
        <v>47.96897242</v>
      </c>
      <c r="Q133">
        <v>0.76277650648360029</v>
      </c>
    </row>
    <row r="134" spans="1:17" x14ac:dyDescent="0.25">
      <c r="A134" t="s">
        <v>28</v>
      </c>
      <c r="B134" t="s">
        <v>22</v>
      </c>
      <c r="C134">
        <v>248</v>
      </c>
      <c r="D134">
        <v>13.2</v>
      </c>
      <c r="E134" t="s">
        <v>13</v>
      </c>
      <c r="F134">
        <v>17.52</v>
      </c>
      <c r="G134">
        <v>2.2000000000000002</v>
      </c>
      <c r="H134">
        <v>133</v>
      </c>
      <c r="I134">
        <v>105.2</v>
      </c>
      <c r="J134">
        <v>70.099999999999994</v>
      </c>
      <c r="K134">
        <v>188.5</v>
      </c>
      <c r="L134">
        <v>2.9980000000000002</v>
      </c>
      <c r="M134">
        <v>18.5</v>
      </c>
      <c r="N134">
        <v>27</v>
      </c>
      <c r="O134" s="2">
        <v>40584</v>
      </c>
      <c r="P134">
        <v>54.372419649999998</v>
      </c>
      <c r="Q134">
        <v>0.75342465753424659</v>
      </c>
    </row>
    <row r="135" spans="1:17" x14ac:dyDescent="0.25">
      <c r="A135" t="s">
        <v>28</v>
      </c>
      <c r="B135" t="s">
        <v>191</v>
      </c>
      <c r="C135">
        <v>63.8</v>
      </c>
      <c r="D135">
        <v>18.100000000000001</v>
      </c>
      <c r="E135" t="s">
        <v>13</v>
      </c>
      <c r="F135">
        <v>25.55</v>
      </c>
      <c r="G135">
        <v>3</v>
      </c>
      <c r="H135">
        <v>210</v>
      </c>
      <c r="I135">
        <v>107.1</v>
      </c>
      <c r="J135">
        <v>71.7</v>
      </c>
      <c r="K135">
        <v>191.9</v>
      </c>
      <c r="L135">
        <v>3.4169999999999998</v>
      </c>
      <c r="M135">
        <v>18.5</v>
      </c>
      <c r="N135">
        <v>26</v>
      </c>
      <c r="O135" s="2">
        <v>40786</v>
      </c>
      <c r="P135">
        <v>84.911898260000001</v>
      </c>
      <c r="Q135">
        <v>0.70841487279843451</v>
      </c>
    </row>
    <row r="136" spans="1:17" x14ac:dyDescent="0.25">
      <c r="A136" t="s">
        <v>28</v>
      </c>
      <c r="B136" t="s">
        <v>192</v>
      </c>
      <c r="C136">
        <v>33.299999999999997</v>
      </c>
      <c r="D136">
        <v>15.4</v>
      </c>
      <c r="E136" t="s">
        <v>13</v>
      </c>
      <c r="F136">
        <v>16.88</v>
      </c>
      <c r="G136">
        <v>1.8</v>
      </c>
      <c r="H136">
        <v>140</v>
      </c>
      <c r="I136">
        <v>102.4</v>
      </c>
      <c r="J136">
        <v>68.3</v>
      </c>
      <c r="K136">
        <v>170.5</v>
      </c>
      <c r="L136">
        <v>2.4249999999999998</v>
      </c>
      <c r="M136">
        <v>14.5</v>
      </c>
      <c r="N136">
        <v>31</v>
      </c>
      <c r="O136" s="2">
        <v>41272</v>
      </c>
      <c r="P136">
        <v>56.496030339999997</v>
      </c>
      <c r="Q136">
        <v>0.91232227488151663</v>
      </c>
    </row>
    <row r="137" spans="1:17" x14ac:dyDescent="0.25">
      <c r="A137" t="s">
        <v>28</v>
      </c>
      <c r="B137" t="s">
        <v>193</v>
      </c>
      <c r="C137">
        <v>84.1</v>
      </c>
      <c r="D137">
        <v>9.6</v>
      </c>
      <c r="E137" t="s">
        <v>11</v>
      </c>
      <c r="F137">
        <v>11.53</v>
      </c>
      <c r="G137">
        <v>2.4</v>
      </c>
      <c r="H137">
        <v>142</v>
      </c>
      <c r="I137">
        <v>103.3</v>
      </c>
      <c r="J137">
        <v>66.5</v>
      </c>
      <c r="K137">
        <v>178.7</v>
      </c>
      <c r="L137">
        <v>2.58</v>
      </c>
      <c r="M137">
        <v>15.1</v>
      </c>
      <c r="N137">
        <v>23</v>
      </c>
      <c r="O137" s="2">
        <v>40756</v>
      </c>
      <c r="P137">
        <v>55.297116580000001</v>
      </c>
      <c r="Q137">
        <v>0.83261058109280139</v>
      </c>
    </row>
    <row r="138" spans="1:17" x14ac:dyDescent="0.25">
      <c r="A138" t="s">
        <v>28</v>
      </c>
      <c r="B138" t="s">
        <v>194</v>
      </c>
      <c r="C138">
        <v>65.099999999999994</v>
      </c>
      <c r="D138">
        <v>18.7</v>
      </c>
      <c r="E138" t="s">
        <v>11</v>
      </c>
      <c r="F138">
        <v>22.37</v>
      </c>
      <c r="G138">
        <v>3</v>
      </c>
      <c r="H138">
        <v>194</v>
      </c>
      <c r="I138">
        <v>114.2</v>
      </c>
      <c r="J138">
        <v>73.400000000000006</v>
      </c>
      <c r="K138">
        <v>193.5</v>
      </c>
      <c r="L138">
        <v>3.7589999999999999</v>
      </c>
      <c r="M138">
        <v>20.9</v>
      </c>
      <c r="N138">
        <v>22</v>
      </c>
      <c r="O138" s="2">
        <v>41187</v>
      </c>
      <c r="P138">
        <v>78.027219470000006</v>
      </c>
      <c r="Q138">
        <v>0.83594099240053632</v>
      </c>
    </row>
    <row r="139" spans="1:17" x14ac:dyDescent="0.25">
      <c r="A139" t="s">
        <v>28</v>
      </c>
      <c r="B139" t="s">
        <v>195</v>
      </c>
      <c r="C139">
        <v>25.1</v>
      </c>
      <c r="D139">
        <v>13.3</v>
      </c>
      <c r="E139" t="s">
        <v>11</v>
      </c>
      <c r="F139">
        <v>16.89</v>
      </c>
      <c r="G139">
        <v>2</v>
      </c>
      <c r="H139">
        <v>127</v>
      </c>
      <c r="I139">
        <v>94.9</v>
      </c>
      <c r="J139">
        <v>66.7</v>
      </c>
      <c r="K139">
        <v>163.80000000000001</v>
      </c>
      <c r="L139">
        <v>2.6680000000000001</v>
      </c>
      <c r="M139">
        <v>15.3</v>
      </c>
      <c r="N139">
        <v>27</v>
      </c>
      <c r="O139" s="2">
        <v>40669</v>
      </c>
      <c r="P139">
        <v>51.955108869999997</v>
      </c>
      <c r="Q139">
        <v>0.78744819419775014</v>
      </c>
    </row>
    <row r="140" spans="1:17" x14ac:dyDescent="0.25">
      <c r="A140" t="s">
        <v>28</v>
      </c>
      <c r="B140" t="s">
        <v>196</v>
      </c>
      <c r="C140">
        <v>68.400000000000006</v>
      </c>
      <c r="D140">
        <v>19.399999999999999</v>
      </c>
      <c r="E140" t="s">
        <v>11</v>
      </c>
      <c r="F140">
        <v>22.29</v>
      </c>
      <c r="G140">
        <v>2.7</v>
      </c>
      <c r="H140">
        <v>150</v>
      </c>
      <c r="I140">
        <v>105.3</v>
      </c>
      <c r="J140">
        <v>66.5</v>
      </c>
      <c r="K140">
        <v>183.3</v>
      </c>
      <c r="L140">
        <v>3.44</v>
      </c>
      <c r="M140">
        <v>18.5</v>
      </c>
      <c r="N140">
        <v>23</v>
      </c>
      <c r="O140" s="2">
        <v>40609</v>
      </c>
      <c r="P140">
        <v>62.35557713</v>
      </c>
      <c r="Q140">
        <v>0.87034544638851497</v>
      </c>
    </row>
    <row r="141" spans="1:17" x14ac:dyDescent="0.25">
      <c r="A141" t="s">
        <v>28</v>
      </c>
      <c r="B141" t="s">
        <v>197</v>
      </c>
      <c r="C141">
        <v>9.8000000000000007</v>
      </c>
      <c r="D141">
        <v>34.1</v>
      </c>
      <c r="E141" t="s">
        <v>11</v>
      </c>
      <c r="F141">
        <v>51.73</v>
      </c>
      <c r="G141">
        <v>4.7</v>
      </c>
      <c r="H141">
        <v>230</v>
      </c>
      <c r="I141">
        <v>112.2</v>
      </c>
      <c r="J141">
        <v>76.400000000000006</v>
      </c>
      <c r="K141">
        <v>192.5</v>
      </c>
      <c r="L141">
        <v>5.1150000000000002</v>
      </c>
      <c r="M141">
        <v>25.4</v>
      </c>
      <c r="N141">
        <v>15</v>
      </c>
      <c r="O141" s="2">
        <v>40811</v>
      </c>
      <c r="P141">
        <v>102.5289842</v>
      </c>
      <c r="Q141">
        <v>0.65919195824473231</v>
      </c>
    </row>
    <row r="142" spans="1:17" x14ac:dyDescent="0.25">
      <c r="A142" t="s">
        <v>32</v>
      </c>
      <c r="B142" t="s">
        <v>198</v>
      </c>
      <c r="C142">
        <v>9.8000000000000007</v>
      </c>
      <c r="D142">
        <v>11.4</v>
      </c>
      <c r="E142" t="s">
        <v>13</v>
      </c>
      <c r="F142">
        <v>14.9</v>
      </c>
      <c r="G142">
        <v>2</v>
      </c>
      <c r="H142">
        <v>115</v>
      </c>
      <c r="I142">
        <v>98.9</v>
      </c>
      <c r="J142">
        <v>68.3</v>
      </c>
      <c r="K142">
        <v>163.30000000000001</v>
      </c>
      <c r="L142">
        <v>2.7669999999999999</v>
      </c>
      <c r="M142">
        <v>14.5</v>
      </c>
      <c r="N142">
        <v>26</v>
      </c>
      <c r="O142" s="2">
        <v>40567</v>
      </c>
      <c r="P142">
        <v>46.943876760000002</v>
      </c>
      <c r="Q142">
        <v>0.7651006711409396</v>
      </c>
    </row>
    <row r="143" spans="1:17" x14ac:dyDescent="0.25">
      <c r="A143" t="s">
        <v>32</v>
      </c>
      <c r="B143" t="s">
        <v>199</v>
      </c>
      <c r="C143">
        <v>83.7</v>
      </c>
      <c r="D143">
        <v>13.2</v>
      </c>
      <c r="E143" t="s">
        <v>13</v>
      </c>
      <c r="F143">
        <v>16.7</v>
      </c>
      <c r="G143">
        <v>2</v>
      </c>
      <c r="H143">
        <v>115</v>
      </c>
      <c r="I143">
        <v>98.9</v>
      </c>
      <c r="J143">
        <v>68.3</v>
      </c>
      <c r="K143">
        <v>172.3</v>
      </c>
      <c r="L143">
        <v>2.8530000000000002</v>
      </c>
      <c r="M143">
        <v>14.5</v>
      </c>
      <c r="N143">
        <v>26</v>
      </c>
      <c r="O143" s="2">
        <v>40782</v>
      </c>
      <c r="P143">
        <v>47.638236659999997</v>
      </c>
      <c r="Q143">
        <v>0.79041916167664672</v>
      </c>
    </row>
    <row r="144" spans="1:17" x14ac:dyDescent="0.25">
      <c r="A144" t="s">
        <v>32</v>
      </c>
      <c r="B144" t="s">
        <v>200</v>
      </c>
      <c r="C144">
        <v>51.1</v>
      </c>
      <c r="D144">
        <v>16.7</v>
      </c>
      <c r="E144" t="s">
        <v>13</v>
      </c>
      <c r="F144">
        <v>21.2</v>
      </c>
      <c r="G144">
        <v>1.8</v>
      </c>
      <c r="H144">
        <v>150</v>
      </c>
      <c r="I144">
        <v>106.4</v>
      </c>
      <c r="J144">
        <v>68.5</v>
      </c>
      <c r="K144">
        <v>184.1</v>
      </c>
      <c r="L144">
        <v>3.0430000000000001</v>
      </c>
      <c r="M144">
        <v>16.399999999999999</v>
      </c>
      <c r="N144">
        <v>27</v>
      </c>
      <c r="O144" s="2">
        <v>41212</v>
      </c>
      <c r="P144">
        <v>61.701381359999999</v>
      </c>
      <c r="Q144">
        <v>0.78773584905660377</v>
      </c>
    </row>
    <row r="145" spans="1:17" x14ac:dyDescent="0.25">
      <c r="A145" t="s">
        <v>32</v>
      </c>
      <c r="B145" t="s">
        <v>201</v>
      </c>
      <c r="C145">
        <v>9.6</v>
      </c>
      <c r="D145">
        <v>16.600000000000001</v>
      </c>
      <c r="E145" t="s">
        <v>13</v>
      </c>
      <c r="F145">
        <v>19.989999999999998</v>
      </c>
      <c r="G145">
        <v>2</v>
      </c>
      <c r="H145">
        <v>115</v>
      </c>
      <c r="I145">
        <v>97.4</v>
      </c>
      <c r="J145">
        <v>66.7</v>
      </c>
      <c r="K145">
        <v>160.4</v>
      </c>
      <c r="L145">
        <v>3.0790000000000002</v>
      </c>
      <c r="M145">
        <v>13.7</v>
      </c>
      <c r="N145">
        <v>26</v>
      </c>
      <c r="O145" s="2">
        <v>40694</v>
      </c>
      <c r="P145">
        <v>48.907372250000002</v>
      </c>
      <c r="Q145">
        <v>0.83041520760380205</v>
      </c>
    </row>
    <row r="146" spans="1:17" x14ac:dyDescent="0.25">
      <c r="A146" t="s">
        <v>32</v>
      </c>
      <c r="B146" t="s">
        <v>202</v>
      </c>
      <c r="C146">
        <v>5.6</v>
      </c>
      <c r="D146">
        <v>13.8</v>
      </c>
      <c r="E146" t="s">
        <v>13</v>
      </c>
      <c r="F146">
        <v>17.5</v>
      </c>
      <c r="G146">
        <v>2</v>
      </c>
      <c r="H146">
        <v>115</v>
      </c>
      <c r="I146">
        <v>98.9</v>
      </c>
      <c r="J146">
        <v>68.3</v>
      </c>
      <c r="K146">
        <v>163.30000000000001</v>
      </c>
      <c r="L146">
        <v>2.762</v>
      </c>
      <c r="M146">
        <v>14.6</v>
      </c>
      <c r="N146">
        <v>26</v>
      </c>
      <c r="O146" s="2">
        <v>40634</v>
      </c>
      <c r="P146">
        <v>47.946841059999997</v>
      </c>
      <c r="Q146">
        <v>0.78857142857142859</v>
      </c>
    </row>
    <row r="147" spans="1:17" x14ac:dyDescent="0.25">
      <c r="A147" t="s">
        <v>32</v>
      </c>
      <c r="B147" t="s">
        <v>203</v>
      </c>
      <c r="C147">
        <v>49.5</v>
      </c>
      <c r="D147">
        <v>18.7</v>
      </c>
      <c r="E147" t="s">
        <v>13</v>
      </c>
      <c r="F147">
        <v>15.9</v>
      </c>
      <c r="G147">
        <v>2</v>
      </c>
      <c r="H147">
        <v>115</v>
      </c>
      <c r="I147">
        <v>98.9</v>
      </c>
      <c r="J147">
        <v>67.900000000000006</v>
      </c>
      <c r="K147">
        <v>161.1</v>
      </c>
      <c r="L147">
        <v>2.7690000000000001</v>
      </c>
      <c r="M147">
        <v>14.5</v>
      </c>
      <c r="N147">
        <v>26</v>
      </c>
      <c r="O147" s="2">
        <v>40836</v>
      </c>
      <c r="P147">
        <v>47.329632259999997</v>
      </c>
      <c r="Q147">
        <v>1.176100628930818</v>
      </c>
    </row>
    <row r="148" spans="1:17" x14ac:dyDescent="0.25">
      <c r="A148" t="s">
        <v>204</v>
      </c>
      <c r="B148" t="s">
        <v>205</v>
      </c>
      <c r="C148">
        <v>17</v>
      </c>
      <c r="D148">
        <v>18.7</v>
      </c>
      <c r="E148" t="s">
        <v>13</v>
      </c>
      <c r="F148">
        <v>23.4</v>
      </c>
      <c r="G148">
        <v>1.9</v>
      </c>
      <c r="H148">
        <v>160</v>
      </c>
      <c r="I148">
        <v>100.5</v>
      </c>
      <c r="J148">
        <v>67.599999999999994</v>
      </c>
      <c r="K148">
        <v>176.6</v>
      </c>
      <c r="L148">
        <v>2.9980000000000002</v>
      </c>
      <c r="M148">
        <v>15.8</v>
      </c>
      <c r="N148">
        <v>25</v>
      </c>
      <c r="O148" s="2">
        <v>40592</v>
      </c>
      <c r="P148">
        <v>66.113056799999995</v>
      </c>
      <c r="Q148">
        <v>0.79914529914529919</v>
      </c>
    </row>
    <row r="149" spans="1:17" x14ac:dyDescent="0.25">
      <c r="A149" t="s">
        <v>204</v>
      </c>
      <c r="B149" t="s">
        <v>206</v>
      </c>
      <c r="C149">
        <v>3.5</v>
      </c>
      <c r="D149">
        <v>18.7</v>
      </c>
      <c r="E149" t="s">
        <v>13</v>
      </c>
      <c r="F149">
        <v>24.4</v>
      </c>
      <c r="G149">
        <v>1.9</v>
      </c>
      <c r="H149">
        <v>160</v>
      </c>
      <c r="I149">
        <v>100.5</v>
      </c>
      <c r="J149">
        <v>67.599999999999994</v>
      </c>
      <c r="K149">
        <v>176.6</v>
      </c>
      <c r="L149">
        <v>3.0419999999999998</v>
      </c>
      <c r="M149">
        <v>15.8</v>
      </c>
      <c r="N149">
        <v>25</v>
      </c>
      <c r="O149" s="2">
        <v>40807</v>
      </c>
      <c r="P149">
        <v>66.498812299999997</v>
      </c>
      <c r="Q149">
        <v>0.76639344262295084</v>
      </c>
    </row>
    <row r="150" spans="1:17" x14ac:dyDescent="0.25">
      <c r="A150" t="s">
        <v>204</v>
      </c>
      <c r="B150" t="s">
        <v>207</v>
      </c>
      <c r="C150">
        <v>15.2</v>
      </c>
      <c r="D150">
        <v>18.7</v>
      </c>
      <c r="E150" t="s">
        <v>13</v>
      </c>
      <c r="F150">
        <v>27.5</v>
      </c>
      <c r="G150">
        <v>2.4</v>
      </c>
      <c r="H150">
        <v>168</v>
      </c>
      <c r="I150">
        <v>104.9</v>
      </c>
      <c r="J150">
        <v>69.3</v>
      </c>
      <c r="K150">
        <v>185.9</v>
      </c>
      <c r="L150">
        <v>3.2080000000000002</v>
      </c>
      <c r="M150">
        <v>17.899999999999999</v>
      </c>
      <c r="N150">
        <v>25</v>
      </c>
      <c r="O150" s="2">
        <v>41237</v>
      </c>
      <c r="P150">
        <v>70.654495449999999</v>
      </c>
      <c r="Q150">
        <v>0.67999999999999994</v>
      </c>
    </row>
    <row r="151" spans="1:17" x14ac:dyDescent="0.25">
      <c r="A151" t="s">
        <v>204</v>
      </c>
      <c r="B151" t="s">
        <v>208</v>
      </c>
      <c r="C151">
        <v>17.5</v>
      </c>
      <c r="D151">
        <v>18.7</v>
      </c>
      <c r="E151" t="s">
        <v>13</v>
      </c>
      <c r="F151">
        <v>28.8</v>
      </c>
      <c r="G151">
        <v>2.4</v>
      </c>
      <c r="H151">
        <v>168</v>
      </c>
      <c r="I151">
        <v>104.9</v>
      </c>
      <c r="J151">
        <v>69.3</v>
      </c>
      <c r="K151">
        <v>186.2</v>
      </c>
      <c r="L151">
        <v>3.2589999999999999</v>
      </c>
      <c r="M151">
        <v>17.899999999999999</v>
      </c>
      <c r="N151">
        <v>25</v>
      </c>
      <c r="O151" s="2">
        <v>40719</v>
      </c>
      <c r="P151">
        <v>71.1559776</v>
      </c>
      <c r="Q151">
        <v>0.64930555555555547</v>
      </c>
    </row>
    <row r="152" spans="1:17" x14ac:dyDescent="0.25">
      <c r="A152" t="s">
        <v>204</v>
      </c>
      <c r="B152" t="s">
        <v>209</v>
      </c>
      <c r="C152">
        <v>3.5</v>
      </c>
      <c r="D152">
        <v>18.7</v>
      </c>
      <c r="E152" t="s">
        <v>13</v>
      </c>
      <c r="F152">
        <v>45.5</v>
      </c>
      <c r="G152">
        <v>2.2999999999999998</v>
      </c>
      <c r="H152">
        <v>236</v>
      </c>
      <c r="I152">
        <v>104.9</v>
      </c>
      <c r="J152">
        <v>71.5</v>
      </c>
      <c r="K152">
        <v>185.7</v>
      </c>
      <c r="L152">
        <v>3.601</v>
      </c>
      <c r="M152">
        <v>18.5</v>
      </c>
      <c r="N152">
        <v>23</v>
      </c>
      <c r="O152" s="2">
        <v>40659</v>
      </c>
      <c r="P152">
        <v>101.6233572</v>
      </c>
      <c r="Q152">
        <v>0.41098901098901103</v>
      </c>
    </row>
    <row r="153" spans="1:17" x14ac:dyDescent="0.25">
      <c r="A153" t="s">
        <v>204</v>
      </c>
      <c r="B153" t="s">
        <v>210</v>
      </c>
      <c r="C153">
        <v>19</v>
      </c>
      <c r="D153">
        <v>18.7</v>
      </c>
      <c r="E153" t="s">
        <v>13</v>
      </c>
      <c r="F153">
        <v>36</v>
      </c>
      <c r="G153">
        <v>2.9</v>
      </c>
      <c r="H153">
        <v>201</v>
      </c>
      <c r="I153">
        <v>109.9</v>
      </c>
      <c r="J153">
        <v>72.099999999999994</v>
      </c>
      <c r="K153">
        <v>189.8</v>
      </c>
      <c r="L153">
        <v>3.6</v>
      </c>
      <c r="M153">
        <v>21.1</v>
      </c>
      <c r="N153">
        <v>24</v>
      </c>
      <c r="O153" s="2">
        <v>40861</v>
      </c>
      <c r="P153">
        <v>85.735654510000003</v>
      </c>
      <c r="Q153">
        <v>0.51944444444444438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taple</vt:lpstr>
      <vt:lpstr>Car_sales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Boda</dc:creator>
  <cp:lastModifiedBy>Boda</cp:lastModifiedBy>
  <dcterms:created xsi:type="dcterms:W3CDTF">2026-04-12T17:46:23Z</dcterms:created>
  <dcterms:modified xsi:type="dcterms:W3CDTF">2026-04-14T10:23:40Z</dcterms:modified>
</cp:coreProperties>
</file>